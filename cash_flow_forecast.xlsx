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ase Scenario" sheetId="2" state="visible" r:id="rId4"/>
    <sheet name="Optimistic Scenario" sheetId="3" state="visible" r:id="rId5"/>
    <sheet name="Pessimistic Scenario" sheetId="4" state="visible" r:id="rId6"/>
    <sheet name="Break-Even Analysis" sheetId="5" state="visible" r:id="rId7"/>
    <sheet name="Strategi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<sst xmlns="http://schemas.openxmlformats.org/spreadsheetml/2006/main" count="280" uniqueCount="179">
  <si>
    <t xml:space="preserve">SMALL BUSINESS CASH FLOW FORECASTING</t>
  </si>
  <si>
    <t xml:space="preserve">Café &amp; Bakery Business | Analysis Date: November 2024</t>
  </si>
  <si>
    <t xml:space="preserve">KEY METRICS - CURRENT STATUS</t>
  </si>
  <si>
    <t xml:space="preserve">Metric</t>
  </si>
  <si>
    <t xml:space="preserve">Current Month</t>
  </si>
  <si>
    <t xml:space="preserve">3-Month Avg</t>
  </si>
  <si>
    <t xml:space="preserve">Status</t>
  </si>
  <si>
    <t xml:space="preserve">Current Cash Balance</t>
  </si>
  <si>
    <t xml:space="preserve">Healthy</t>
  </si>
  <si>
    <t xml:space="preserve">Monthly Revenue</t>
  </si>
  <si>
    <t xml:space="preserve">Growing</t>
  </si>
  <si>
    <t xml:space="preserve">Monthly Expenses</t>
  </si>
  <si>
    <t xml:space="preserve">Controlled</t>
  </si>
  <si>
    <t xml:space="preserve">Net Cash Flow</t>
  </si>
  <si>
    <t xml:space="preserve">Positive</t>
  </si>
  <si>
    <t xml:space="preserve">Cash Runway (months)</t>
  </si>
  <si>
    <t xml:space="preserve">Good</t>
  </si>
  <si>
    <t xml:space="preserve">Burn Rate</t>
  </si>
  <si>
    <t xml:space="preserve">N/A</t>
  </si>
  <si>
    <t xml:space="preserve">SCENARIO COMPARISON (6-Month Projection)</t>
  </si>
  <si>
    <t xml:space="preserve">Scenario</t>
  </si>
  <si>
    <t xml:space="preserve">Ending Cash</t>
  </si>
  <si>
    <t xml:space="preserve">Cumulative CF</t>
  </si>
  <si>
    <t xml:space="preserve">Min Cash Position</t>
  </si>
  <si>
    <t xml:space="preserve">Risk Level</t>
  </si>
  <si>
    <t xml:space="preserve">Optimistic</t>
  </si>
  <si>
    <t xml:space="preserve">Low</t>
  </si>
  <si>
    <t xml:space="preserve">Base Case</t>
  </si>
  <si>
    <t xml:space="preserve">Medium</t>
  </si>
  <si>
    <t xml:space="preserve">Pessimistic</t>
  </si>
  <si>
    <t xml:space="preserve">High</t>
  </si>
  <si>
    <t xml:space="preserve">BREAK-EVEN ANALYSIS</t>
  </si>
  <si>
    <t xml:space="preserve">Monthly Break-Even Revenue</t>
  </si>
  <si>
    <t xml:space="preserve">Current Revenue vs Break-Even</t>
  </si>
  <si>
    <t xml:space="preserve">126%</t>
  </si>
  <si>
    <t xml:space="preserve">Monthly Sales Units Needed</t>
  </si>
  <si>
    <t xml:space="preserve">Current Daily Sales Target</t>
  </si>
  <si>
    <t xml:space="preserve">Safety Margin</t>
  </si>
  <si>
    <t xml:space="preserve">$17,500</t>
  </si>
  <si>
    <t xml:space="preserve">BASE CASE SCENARIO - Cash Flow Projection</t>
  </si>
  <si>
    <t xml:space="preserve">Assumptions: Steady growth 3-5% monthly, normal operations</t>
  </si>
  <si>
    <t xml:space="preserve">CASH FLOW COMPONENTS</t>
  </si>
  <si>
    <t xml:space="preserve">Jul-24</t>
  </si>
  <si>
    <t xml:space="preserve">Aug-24</t>
  </si>
  <si>
    <t xml:space="preserve">Sep-24</t>
  </si>
  <si>
    <t xml:space="preserve">Oct-24</t>
  </si>
  <si>
    <t xml:space="preserve">Nov-24</t>
  </si>
  <si>
    <t xml:space="preserve">Dec-24</t>
  </si>
  <si>
    <t xml:space="preserve">Jan-25</t>
  </si>
  <si>
    <t xml:space="preserve">Feb-25</t>
  </si>
  <si>
    <t xml:space="preserve">Opening Cash Balance</t>
  </si>
  <si>
    <t xml:space="preserve">CASH INFLOWS</t>
  </si>
  <si>
    <t xml:space="preserve">Product Sales</t>
  </si>
  <si>
    <t xml:space="preserve">Service Revenue</t>
  </si>
  <si>
    <t xml:space="preserve">Catering Orders</t>
  </si>
  <si>
    <t xml:space="preserve">Other Income</t>
  </si>
  <si>
    <t xml:space="preserve">Total Cash Inflows</t>
  </si>
  <si>
    <t xml:space="preserve">CASH OUTFLOWS</t>
  </si>
  <si>
    <t xml:space="preserve">Cost of Goods Sold</t>
  </si>
  <si>
    <t xml:space="preserve">Rent &amp; Utilities</t>
  </si>
  <si>
    <t xml:space="preserve">Salaries &amp; Wages</t>
  </si>
  <si>
    <t xml:space="preserve">Marketing &amp; Advertising</t>
  </si>
  <si>
    <t xml:space="preserve">Supplies &amp; Materials</t>
  </si>
  <si>
    <t xml:space="preserve">Insurance</t>
  </si>
  <si>
    <t xml:space="preserve">Maintenance &amp; Repairs</t>
  </si>
  <si>
    <t xml:space="preserve">Loan Payment</t>
  </si>
  <si>
    <t xml:space="preserve">Other Expenses</t>
  </si>
  <si>
    <t xml:space="preserve">Total Cash Outflows</t>
  </si>
  <si>
    <t xml:space="preserve">Closing Cash Balance</t>
  </si>
  <si>
    <t xml:space="preserve">Cumulative Cash Flow</t>
  </si>
  <si>
    <t xml:space="preserve">OPTIMISTIC SCENARIO - Cash Flow Projection</t>
  </si>
  <si>
    <t xml:space="preserve">Assumptions: Strong growth 7-10% monthly, increased demand, higher margins</t>
  </si>
  <si>
    <t xml:space="preserve">PESSIMISTIC SCENARIO - Cash Flow Projection</t>
  </si>
  <si>
    <t xml:space="preserve">Assumptions: Slow growth 0-2% monthly, economic downturn, reduced demand</t>
  </si>
  <si>
    <t xml:space="preserve">KEY ASSUMPTIONS</t>
  </si>
  <si>
    <t xml:space="preserve">Average Selling Price per Unit</t>
  </si>
  <si>
    <t xml:space="preserve">Variable Cost per Unit</t>
  </si>
  <si>
    <t xml:space="preserve">Contribution Margin per Unit</t>
  </si>
  <si>
    <t xml:space="preserve">Monthly Fixed Costs</t>
  </si>
  <si>
    <t xml:space="preserve">BREAK-EVEN CALCULATIONS</t>
  </si>
  <si>
    <t xml:space="preserve">Break-Even Units (Monthly)</t>
  </si>
  <si>
    <t xml:space="preserve">Break-Even Revenue (Monthly)</t>
  </si>
  <si>
    <t xml:space="preserve">CURRENT PERFORMANCE</t>
  </si>
  <si>
    <t xml:space="preserve">Current Monthly Revenue</t>
  </si>
  <si>
    <t xml:space="preserve">Current Units Sold</t>
  </si>
  <si>
    <t xml:space="preserve">Units Above Break-Even</t>
  </si>
  <si>
    <t xml:space="preserve">Revenue Above Break-Even</t>
  </si>
  <si>
    <t xml:space="preserve">Safety Margin %</t>
  </si>
  <si>
    <t xml:space="preserve">SENSITIVITY ANALYSIS</t>
  </si>
  <si>
    <t xml:space="preserve">Fixed Cost Level</t>
  </si>
  <si>
    <t xml:space="preserve">Break-Even Units</t>
  </si>
  <si>
    <t xml:space="preserve">Break-Even Revenue</t>
  </si>
  <si>
    <t xml:space="preserve">Current Gap</t>
  </si>
  <si>
    <t xml:space="preserve">Safety %</t>
  </si>
  <si>
    <t xml:space="preserve">CASH MANAGEMENT STRATEGIES &amp; RECOMMENDATIONS</t>
  </si>
  <si>
    <t xml:space="preserve">IMMEDIATE ACTIONS (0-30 days)</t>
  </si>
  <si>
    <t xml:space="preserve">Priority</t>
  </si>
  <si>
    <t xml:space="preserve">Strategy</t>
  </si>
  <si>
    <t xml:space="preserve">Expected Impact</t>
  </si>
  <si>
    <t xml:space="preserve">Cost</t>
  </si>
  <si>
    <t xml:space="preserve">Timeline</t>
  </si>
  <si>
    <t xml:space="preserve">HIGH</t>
  </si>
  <si>
    <t xml:space="preserve">Negotiate extended payment terms with suppliers (45-60 days)</t>
  </si>
  <si>
    <t xml:space="preserve">$5,000-8,000/mo</t>
  </si>
  <si>
    <t xml:space="preserve">None</t>
  </si>
  <si>
    <t xml:space="preserve">2 weeks</t>
  </si>
  <si>
    <t xml:space="preserve">Recommended</t>
  </si>
  <si>
    <t xml:space="preserve">Implement early payment discount (2% 10 days)</t>
  </si>
  <si>
    <t xml:space="preserve">$3,000-5,000/mo</t>
  </si>
  <si>
    <t xml:space="preserve">Loss: $1,700</t>
  </si>
  <si>
    <t xml:space="preserve">1 week</t>
  </si>
  <si>
    <t xml:space="preserve">MEDIUM</t>
  </si>
  <si>
    <t xml:space="preserve">Review and reduce discretionary spending</t>
  </si>
  <si>
    <t xml:space="preserve">$2,000-3,000/mo</t>
  </si>
  <si>
    <t xml:space="preserve">Immediate</t>
  </si>
  <si>
    <t xml:space="preserve">In Progress</t>
  </si>
  <si>
    <t xml:space="preserve">Accelerate receivables collection</t>
  </si>
  <si>
    <t xml:space="preserve">$4,000-6,000</t>
  </si>
  <si>
    <t xml:space="preserve">SHORT-TERM TACTICS (1-3 months)</t>
  </si>
  <si>
    <t xml:space="preserve">Launch loyalty program to increase repeat business</t>
  </si>
  <si>
    <t xml:space="preserve">+$8,000-12,000/mo</t>
  </si>
  <si>
    <t xml:space="preserve">$2,500</t>
  </si>
  <si>
    <t xml:space="preserve">4 weeks</t>
  </si>
  <si>
    <t xml:space="preserve">Under Review</t>
  </si>
  <si>
    <t xml:space="preserve">Optimize inventory levels (reduce by 20%)</t>
  </si>
  <si>
    <t xml:space="preserve">$15,000 one-time</t>
  </si>
  <si>
    <t xml:space="preserve">6 weeks</t>
  </si>
  <si>
    <t xml:space="preserve">Introduce pre-paid packages/memberships</t>
  </si>
  <si>
    <t xml:space="preserve">+$5,000-7,000/mo</t>
  </si>
  <si>
    <t xml:space="preserve">$1,000</t>
  </si>
  <si>
    <t xml:space="preserve">3 weeks</t>
  </si>
  <si>
    <t xml:space="preserve">Planning</t>
  </si>
  <si>
    <t xml:space="preserve">Renegotiate rent or consider subletting unused space</t>
  </si>
  <si>
    <t xml:space="preserve">$1,000-2,000/mo</t>
  </si>
  <si>
    <t xml:space="preserve">$500</t>
  </si>
  <si>
    <t xml:space="preserve">8 weeks</t>
  </si>
  <si>
    <t xml:space="preserve">LOW</t>
  </si>
  <si>
    <t xml:space="preserve">Delay non-critical equipment purchases</t>
  </si>
  <si>
    <t xml:space="preserve">$5,000-10,000</t>
  </si>
  <si>
    <t xml:space="preserve">Implemented</t>
  </si>
  <si>
    <t xml:space="preserve">LONG-TERM INITIATIVES (3-6 months)</t>
  </si>
  <si>
    <t xml:space="preserve">Expand catering services to corporate clients</t>
  </si>
  <si>
    <t xml:space="preserve">+$15,000-20,000/mo</t>
  </si>
  <si>
    <t xml:space="preserve">$5,000</t>
  </si>
  <si>
    <t xml:space="preserve">12 weeks</t>
  </si>
  <si>
    <t xml:space="preserve">Research Phase</t>
  </si>
  <si>
    <t xml:space="preserve">Launch e-commerce/online ordering platform</t>
  </si>
  <si>
    <t xml:space="preserve">+$10,000-15,000/mo</t>
  </si>
  <si>
    <t xml:space="preserve">$8,000</t>
  </si>
  <si>
    <t xml:space="preserve">16 weeks</t>
  </si>
  <si>
    <t xml:space="preserve">Introduce premium product line (higher margins)</t>
  </si>
  <si>
    <t xml:space="preserve">$3,500</t>
  </si>
  <si>
    <t xml:space="preserve">10 weeks</t>
  </si>
  <si>
    <t xml:space="preserve">Development</t>
  </si>
  <si>
    <t xml:space="preserve">Explore second location or franchise opportunity</t>
  </si>
  <si>
    <t xml:space="preserve">+$25,000+/mo</t>
  </si>
  <si>
    <t xml:space="preserve">$50,000+</t>
  </si>
  <si>
    <t xml:space="preserve">24 weeks</t>
  </si>
  <si>
    <t xml:space="preserve">Future Consideration</t>
  </si>
  <si>
    <t xml:space="preserve">EMERGENCY CONTINGENCY PLANS</t>
  </si>
  <si>
    <t xml:space="preserve">Action</t>
  </si>
  <si>
    <t xml:space="preserve">Expected Result</t>
  </si>
  <si>
    <t xml:space="preserve">Activation Trigger</t>
  </si>
  <si>
    <t xml:space="preserve">Cash &lt; $30,000</t>
  </si>
  <si>
    <t xml:space="preserve">Draw on line of credit ($25,000)</t>
  </si>
  <si>
    <t xml:space="preserve">Immediate liquidity</t>
  </si>
  <si>
    <t xml:space="preserve">2 consecutive months negative CF</t>
  </si>
  <si>
    <t xml:space="preserve">Cash &lt; $20,000</t>
  </si>
  <si>
    <t xml:space="preserve">Reduce staff hours by 15%</t>
  </si>
  <si>
    <t xml:space="preserve">Save $4,200/mo</t>
  </si>
  <si>
    <t xml:space="preserve">Cash runway &lt; 3 months</t>
  </si>
  <si>
    <t xml:space="preserve">Cash &lt; $15,000</t>
  </si>
  <si>
    <t xml:space="preserve">Pause loan payments (negotiate)</t>
  </si>
  <si>
    <t xml:space="preserve">Save $3,000/mo</t>
  </si>
  <si>
    <t xml:space="preserve">Emergency situation</t>
  </si>
  <si>
    <t xml:space="preserve">Cash &lt; $10,000</t>
  </si>
  <si>
    <t xml:space="preserve">Emergency capital injection needed</t>
  </si>
  <si>
    <t xml:space="preserve">Investor/loan</t>
  </si>
  <si>
    <t xml:space="preserve">Critical threshold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</si>
</sst>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\$#,##0;&quot;($&quot;#,##0\);\-"/>
    <numFmt numFmtId="167" formatCode="#,##0"/>
    <numFmt numFmtId="168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4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B050"/>
      <name val="Cambria"/>
      <family val="0"/>
      <charset val="1"/>
    </font>
    <font>
      <b val="true"/>
      <sz val="11"/>
      <color rgb="FFFF0000"/>
      <name val="Cambria"/>
      <family val="0"/>
      <charset val="1"/>
    </font>
    <font>
      <b val="true"/>
      <sz val="11"/>
      <color rgb="FFFF6600"/>
      <name val="Cambria"/>
      <family val="0"/>
      <charset val="1"/>
    </font>
    <font>
      <b val="true"/>
      <sz val="11"/>
      <color rgb="FF0066CC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366092"/>
        <bgColor rgb="FF1F4E78"/>
      </patternFill>
    </fill>
    <fill>
      <patternFill patternType="solid">
        <fgColor rgb="FFB8CCE4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B8CCE4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FFE699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366092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  <col collapsed="false" customWidth="true" hidden="false" outlineLevel="0" max="5" min="5" style="0" width="1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0" t="s">
        <v>7</v>
      </c>
      <c r="B6" s="5" t="n">
        <v>45000</v>
      </c>
      <c r="C6" s="5" t="n">
        <v>42333</v>
      </c>
      <c r="D6" s="6" t="s">
        <v>8</v>
      </c>
    </row>
    <row r="7" customFormat="false" ht="15" hidden="false" customHeight="false" outlineLevel="0" collapsed="false">
      <c r="A7" s="0" t="s">
        <v>9</v>
      </c>
      <c r="B7" s="5" t="n">
        <v>85000</v>
      </c>
      <c r="C7" s="5" t="n">
        <v>82667</v>
      </c>
      <c r="D7" s="6" t="s">
        <v>10</v>
      </c>
    </row>
    <row r="8" customFormat="false" ht="15" hidden="false" customHeight="false" outlineLevel="0" collapsed="false">
      <c r="A8" s="0" t="s">
        <v>11</v>
      </c>
      <c r="B8" s="5" t="n">
        <v>72000</v>
      </c>
      <c r="C8" s="5" t="n">
        <v>70333</v>
      </c>
      <c r="D8" s="6" t="s">
        <v>12</v>
      </c>
    </row>
    <row r="9" customFormat="false" ht="15" hidden="false" customHeight="false" outlineLevel="0" collapsed="false">
      <c r="A9" s="0" t="s">
        <v>13</v>
      </c>
      <c r="B9" s="5" t="n">
        <v>13000</v>
      </c>
      <c r="C9" s="5" t="n">
        <v>12333</v>
      </c>
      <c r="D9" s="6" t="s">
        <v>14</v>
      </c>
    </row>
    <row r="10" customFormat="false" ht="15" hidden="false" customHeight="false" outlineLevel="0" collapsed="false">
      <c r="A10" s="0" t="s">
        <v>15</v>
      </c>
      <c r="B10" s="5" t="n">
        <v>6.25</v>
      </c>
      <c r="C10" s="5" t="n">
        <v>6</v>
      </c>
      <c r="D10" s="6" t="s">
        <v>16</v>
      </c>
    </row>
    <row r="11" customFormat="false" ht="15" hidden="false" customHeight="false" outlineLevel="0" collapsed="false">
      <c r="A11" s="0" t="s">
        <v>17</v>
      </c>
      <c r="B11" s="5" t="n">
        <v>0</v>
      </c>
      <c r="C11" s="5" t="n">
        <v>0</v>
      </c>
      <c r="D11" s="6" t="s">
        <v>18</v>
      </c>
    </row>
    <row r="13" customFormat="false" ht="15" hidden="false" customHeight="false" outlineLevel="0" collapsed="false">
      <c r="A13" s="3" t="s">
        <v>19</v>
      </c>
      <c r="B13" s="3"/>
      <c r="C13" s="3"/>
      <c r="D13" s="3"/>
      <c r="E13" s="3"/>
    </row>
    <row r="14" customFormat="false" ht="15" hidden="false" customHeight="false" outlineLevel="0" collapsed="false">
      <c r="A14" s="4" t="s">
        <v>20</v>
      </c>
      <c r="B14" s="4" t="s">
        <v>21</v>
      </c>
      <c r="C14" s="4" t="s">
        <v>22</v>
      </c>
      <c r="D14" s="4" t="s">
        <v>23</v>
      </c>
      <c r="E14" s="4" t="s">
        <v>24</v>
      </c>
    </row>
    <row r="15" customFormat="false" ht="15" hidden="false" customHeight="false" outlineLevel="0" collapsed="false">
      <c r="A15" s="0" t="s">
        <v>25</v>
      </c>
      <c r="B15" s="5" t="n">
        <v>132500</v>
      </c>
      <c r="C15" s="5" t="n">
        <v>87500</v>
      </c>
      <c r="D15" s="5" t="n">
        <v>45000</v>
      </c>
      <c r="E15" s="6" t="s">
        <v>26</v>
      </c>
    </row>
    <row r="16" customFormat="false" ht="15" hidden="false" customHeight="false" outlineLevel="0" collapsed="false">
      <c r="A16" s="0" t="s">
        <v>27</v>
      </c>
      <c r="B16" s="5" t="n">
        <v>107000</v>
      </c>
      <c r="C16" s="5" t="n">
        <v>62000</v>
      </c>
      <c r="D16" s="5" t="n">
        <v>38500</v>
      </c>
      <c r="E16" s="6" t="s">
        <v>28</v>
      </c>
    </row>
    <row r="17" customFormat="false" ht="15" hidden="false" customHeight="false" outlineLevel="0" collapsed="false">
      <c r="A17" s="0" t="s">
        <v>29</v>
      </c>
      <c r="B17" s="5" t="n">
        <v>68500</v>
      </c>
      <c r="C17" s="5" t="n">
        <v>23500</v>
      </c>
      <c r="D17" s="5" t="n">
        <v>28000</v>
      </c>
      <c r="E17" s="6" t="s">
        <v>30</v>
      </c>
    </row>
    <row r="19" customFormat="false" ht="15" hidden="false" customHeight="false" outlineLevel="0" collapsed="false">
      <c r="A19" s="3" t="s">
        <v>31</v>
      </c>
      <c r="B19" s="3"/>
      <c r="C19" s="3"/>
      <c r="D19" s="3"/>
    </row>
    <row r="20" customFormat="false" ht="15" hidden="false" customHeight="false" outlineLevel="0" collapsed="false">
      <c r="A20" s="0" t="s">
        <v>32</v>
      </c>
      <c r="B20" s="5" t="n">
        <v>67500</v>
      </c>
    </row>
    <row r="21" customFormat="false" ht="15" hidden="false" customHeight="false" outlineLevel="0" collapsed="false">
      <c r="A21" s="0" t="s">
        <v>33</v>
      </c>
      <c r="B21" s="0" t="s">
        <v>34</v>
      </c>
    </row>
    <row r="22" customFormat="false" ht="15" hidden="false" customHeight="false" outlineLevel="0" collapsed="false">
      <c r="A22" s="0" t="s">
        <v>35</v>
      </c>
      <c r="B22" s="5" t="n">
        <v>4500</v>
      </c>
    </row>
    <row r="23" customFormat="false" ht="15" hidden="false" customHeight="false" outlineLevel="0" collapsed="false">
      <c r="A23" s="0" t="s">
        <v>36</v>
      </c>
      <c r="B23" s="5" t="n">
        <v>150</v>
      </c>
    </row>
    <row r="24" customFormat="false" ht="15" hidden="false" customHeight="false" outlineLevel="0" collapsed="false">
      <c r="A24" s="0" t="s">
        <v>37</v>
      </c>
      <c r="B24" s="0" t="s">
        <v>38</v>
      </c>
    </row>
  </sheetData>
  <mergeCells count="5">
    <mergeCell ref="A1:H1"/>
    <mergeCell ref="A2:H2"/>
    <mergeCell ref="A4:D4"/>
    <mergeCell ref="A13:E13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3"/>
  </cols>
  <sheetData>
    <row r="1" customFormat="false" ht="17.35" hidden="false" customHeight="false" outlineLevel="0" collapsed="false">
      <c r="A1" s="7" t="s">
        <v>39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customFormat="false" ht="15" hidden="false" customHeight="false" outlineLevel="0" collapsed="false">
      <c r="A2" s="8" t="s">
        <v>40</v>
      </c>
      <c r="B2" s="8"/>
      <c r="C2" s="8"/>
      <c r="D2" s="8"/>
      <c r="E2" s="8"/>
      <c r="F2" s="8"/>
      <c r="G2" s="8"/>
      <c r="H2" s="8"/>
      <c r="I2" s="8"/>
      <c r="J2" s="8"/>
      <c r="K2" s="8"/>
    </row>
    <row r="4" customFormat="false" ht="15" hidden="false" customHeight="false" outlineLevel="0" collapsed="false">
      <c r="A4" s="9" t="s">
        <v>41</v>
      </c>
      <c r="B4" s="10" t="s">
        <v>42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</row>
    <row r="5" customFormat="false" ht="15" hidden="false" customHeight="false" outlineLevel="0" collapsed="false">
      <c r="A5" s="11" t="s">
        <v>50</v>
      </c>
      <c r="B5" s="12" t="n">
        <v>35000</v>
      </c>
      <c r="C5" s="12" t="n">
        <v>38000</v>
      </c>
      <c r="D5" s="12" t="n">
        <v>45000</v>
      </c>
      <c r="E5" s="12" t="n">
        <v>49500</v>
      </c>
      <c r="F5" s="12" t="n">
        <v>56200</v>
      </c>
      <c r="G5" s="12" t="n">
        <v>65400</v>
      </c>
      <c r="H5" s="12" t="n">
        <v>76000</v>
      </c>
      <c r="I5" s="12" t="n">
        <v>87800</v>
      </c>
      <c r="J5" s="12" t="n">
        <v>99200</v>
      </c>
    </row>
    <row r="7" customFormat="false" ht="15" hidden="false" customHeight="false" outlineLevel="0" collapsed="false">
      <c r="A7" s="13" t="s">
        <v>51</v>
      </c>
    </row>
    <row r="8" customFormat="false" ht="15" hidden="false" customHeight="false" outlineLevel="0" collapsed="false">
      <c r="A8" s="0" t="s">
        <v>52</v>
      </c>
      <c r="B8" s="12" t="n">
        <v>52000</v>
      </c>
      <c r="C8" s="12" t="n">
        <v>55000</v>
      </c>
      <c r="D8" s="12" t="n">
        <v>58000</v>
      </c>
      <c r="E8" s="12" t="n">
        <v>60000</v>
      </c>
      <c r="F8" s="12" t="n">
        <v>62500</v>
      </c>
      <c r="G8" s="12" t="n">
        <v>65000</v>
      </c>
      <c r="H8" s="12" t="n">
        <v>67500</v>
      </c>
      <c r="I8" s="12" t="n">
        <v>70000</v>
      </c>
      <c r="J8" s="12" t="n">
        <v>72500</v>
      </c>
    </row>
    <row r="9" customFormat="false" ht="15" hidden="false" customHeight="false" outlineLevel="0" collapsed="false">
      <c r="A9" s="0" t="s">
        <v>53</v>
      </c>
      <c r="B9" s="12" t="n">
        <v>25000</v>
      </c>
      <c r="C9" s="12" t="n">
        <v>26000</v>
      </c>
      <c r="D9" s="12" t="n">
        <v>27000</v>
      </c>
      <c r="E9" s="12" t="n">
        <v>27500</v>
      </c>
      <c r="F9" s="12" t="n">
        <v>28000</v>
      </c>
      <c r="G9" s="12" t="n">
        <v>29000</v>
      </c>
      <c r="H9" s="12" t="n">
        <v>30000</v>
      </c>
      <c r="I9" s="12" t="n">
        <v>31000</v>
      </c>
      <c r="J9" s="12" t="n">
        <v>32000</v>
      </c>
    </row>
    <row r="10" customFormat="false" ht="15" hidden="false" customHeight="false" outlineLevel="0" collapsed="false">
      <c r="A10" s="0" t="s">
        <v>54</v>
      </c>
      <c r="B10" s="12" t="n">
        <v>3000</v>
      </c>
      <c r="C10" s="12" t="n">
        <v>3500</v>
      </c>
      <c r="D10" s="12" t="n">
        <v>4000</v>
      </c>
      <c r="E10" s="12" t="n">
        <v>4500</v>
      </c>
      <c r="F10" s="12" t="n">
        <v>5000</v>
      </c>
      <c r="G10" s="12" t="n">
        <v>5500</v>
      </c>
      <c r="H10" s="12" t="n">
        <v>6000</v>
      </c>
      <c r="I10" s="12" t="n">
        <v>6500</v>
      </c>
      <c r="J10" s="12" t="n">
        <v>7000</v>
      </c>
    </row>
    <row r="11" customFormat="false" ht="15" hidden="false" customHeight="false" outlineLevel="0" collapsed="false">
      <c r="A11" s="0" t="s">
        <v>55</v>
      </c>
      <c r="B11" s="12" t="n">
        <v>500</v>
      </c>
      <c r="C11" s="12" t="n">
        <v>600</v>
      </c>
      <c r="D11" s="12" t="n">
        <v>700</v>
      </c>
      <c r="E11" s="12" t="n">
        <v>800</v>
      </c>
      <c r="F11" s="12" t="n">
        <v>900</v>
      </c>
      <c r="G11" s="12" t="n">
        <v>1000</v>
      </c>
      <c r="H11" s="12" t="n">
        <v>1100</v>
      </c>
      <c r="I11" s="12" t="n">
        <v>1200</v>
      </c>
      <c r="J11" s="12" t="n">
        <v>1300</v>
      </c>
    </row>
    <row r="12" customFormat="false" ht="15" hidden="false" customHeight="false" outlineLevel="0" collapsed="false">
      <c r="A12" s="13" t="s">
        <v>56</v>
      </c>
      <c r="B12" s="14" t="n">
        <f aca="false">SUM(B8:B11)</f>
        <v>80500</v>
      </c>
      <c r="C12" s="14" t="n">
        <f aca="false">SUM(C8:C11)</f>
        <v>85100</v>
      </c>
      <c r="D12" s="14" t="n">
        <f aca="false">SUM(D8:D11)</f>
        <v>89700</v>
      </c>
      <c r="E12" s="14" t="n">
        <f aca="false">SUM(E8:E11)</f>
        <v>92800</v>
      </c>
      <c r="F12" s="14" t="n">
        <f aca="false">SUM(F8:F11)</f>
        <v>96400</v>
      </c>
      <c r="G12" s="14" t="n">
        <f aca="false">SUM(G8:G11)</f>
        <v>100500</v>
      </c>
      <c r="H12" s="14" t="n">
        <f aca="false">SUM(H8:H11)</f>
        <v>104600</v>
      </c>
      <c r="I12" s="14" t="n">
        <f aca="false">SUM(I8:I11)</f>
        <v>108700</v>
      </c>
      <c r="J12" s="14" t="n">
        <f aca="false">SUM(J8:J11)</f>
        <v>112800</v>
      </c>
    </row>
    <row r="14" customFormat="false" ht="15" hidden="false" customHeight="false" outlineLevel="0" collapsed="false">
      <c r="A14" s="13" t="s">
        <v>57</v>
      </c>
    </row>
    <row r="15" customFormat="false" ht="15" hidden="false" customHeight="false" outlineLevel="0" collapsed="false">
      <c r="A15" s="0" t="s">
        <v>58</v>
      </c>
      <c r="B15" s="12" t="n">
        <v>20800</v>
      </c>
      <c r="C15" s="12" t="n">
        <v>21450</v>
      </c>
      <c r="D15" s="12" t="n">
        <v>22500</v>
      </c>
      <c r="E15" s="12" t="n">
        <v>23250</v>
      </c>
      <c r="F15" s="12" t="n">
        <v>24000</v>
      </c>
      <c r="G15" s="12" t="n">
        <v>24700</v>
      </c>
      <c r="H15" s="12" t="n">
        <v>25500</v>
      </c>
      <c r="I15" s="12" t="n">
        <v>26250</v>
      </c>
      <c r="J15" s="12" t="n">
        <v>27000</v>
      </c>
    </row>
    <row r="16" customFormat="false" ht="15" hidden="false" customHeight="false" outlineLevel="0" collapsed="false">
      <c r="A16" s="0" t="s">
        <v>59</v>
      </c>
      <c r="B16" s="12" t="n">
        <v>12000</v>
      </c>
      <c r="C16" s="12" t="n">
        <v>12000</v>
      </c>
      <c r="D16" s="12" t="n">
        <v>12000</v>
      </c>
      <c r="E16" s="12" t="n">
        <v>12000</v>
      </c>
      <c r="F16" s="12" t="n">
        <v>12000</v>
      </c>
      <c r="G16" s="12" t="n">
        <v>12000</v>
      </c>
      <c r="H16" s="12" t="n">
        <v>12000</v>
      </c>
      <c r="I16" s="12" t="n">
        <v>12000</v>
      </c>
      <c r="J16" s="12" t="n">
        <v>12000</v>
      </c>
    </row>
    <row r="17" customFormat="false" ht="15" hidden="false" customHeight="false" outlineLevel="0" collapsed="false">
      <c r="A17" s="0" t="s">
        <v>60</v>
      </c>
      <c r="B17" s="12" t="n">
        <v>28000</v>
      </c>
      <c r="C17" s="12" t="n">
        <v>28000</v>
      </c>
      <c r="D17" s="12" t="n">
        <v>28000</v>
      </c>
      <c r="E17" s="12" t="n">
        <v>28500</v>
      </c>
      <c r="F17" s="12" t="n">
        <v>28500</v>
      </c>
      <c r="G17" s="12" t="n">
        <v>29000</v>
      </c>
      <c r="H17" s="12" t="n">
        <v>29000</v>
      </c>
      <c r="I17" s="12" t="n">
        <v>29500</v>
      </c>
      <c r="J17" s="12" t="n">
        <v>29500</v>
      </c>
    </row>
    <row r="18" customFormat="false" ht="15" hidden="false" customHeight="false" outlineLevel="0" collapsed="false">
      <c r="A18" s="0" t="s">
        <v>61</v>
      </c>
      <c r="B18" s="12" t="n">
        <v>3500</v>
      </c>
      <c r="C18" s="12" t="n">
        <v>3800</v>
      </c>
      <c r="D18" s="12" t="n">
        <v>4000</v>
      </c>
      <c r="E18" s="12" t="n">
        <v>4200</v>
      </c>
      <c r="F18" s="12" t="n">
        <v>4400</v>
      </c>
      <c r="G18" s="12" t="n">
        <v>4600</v>
      </c>
      <c r="H18" s="12" t="n">
        <v>4800</v>
      </c>
      <c r="I18" s="12" t="n">
        <v>5000</v>
      </c>
      <c r="J18" s="12" t="n">
        <v>5200</v>
      </c>
    </row>
    <row r="19" customFormat="false" ht="15" hidden="false" customHeight="false" outlineLevel="0" collapsed="false">
      <c r="A19" s="0" t="s">
        <v>62</v>
      </c>
      <c r="B19" s="12" t="n">
        <v>2500</v>
      </c>
      <c r="C19" s="12" t="n">
        <v>2600</v>
      </c>
      <c r="D19" s="12" t="n">
        <v>2700</v>
      </c>
      <c r="E19" s="12" t="n">
        <v>2800</v>
      </c>
      <c r="F19" s="12" t="n">
        <v>2900</v>
      </c>
      <c r="G19" s="12" t="n">
        <v>3000</v>
      </c>
      <c r="H19" s="12" t="n">
        <v>3100</v>
      </c>
      <c r="I19" s="12" t="n">
        <v>3200</v>
      </c>
      <c r="J19" s="12" t="n">
        <v>3300</v>
      </c>
    </row>
    <row r="20" customFormat="false" ht="15" hidden="false" customHeight="false" outlineLevel="0" collapsed="false">
      <c r="A20" s="0" t="s">
        <v>63</v>
      </c>
      <c r="B20" s="12" t="n">
        <v>1200</v>
      </c>
      <c r="C20" s="12" t="n">
        <v>1200</v>
      </c>
      <c r="D20" s="12" t="n">
        <v>1200</v>
      </c>
      <c r="E20" s="12" t="n">
        <v>1200</v>
      </c>
      <c r="F20" s="12" t="n">
        <v>1200</v>
      </c>
      <c r="G20" s="12" t="n">
        <v>1200</v>
      </c>
      <c r="H20" s="12" t="n">
        <v>1200</v>
      </c>
      <c r="I20" s="12" t="n">
        <v>1200</v>
      </c>
      <c r="J20" s="12" t="n">
        <v>1200</v>
      </c>
    </row>
    <row r="21" customFormat="false" ht="15" hidden="false" customHeight="false" outlineLevel="0" collapsed="false">
      <c r="A21" s="0" t="s">
        <v>64</v>
      </c>
      <c r="B21" s="12" t="n">
        <v>800</v>
      </c>
      <c r="C21" s="12" t="n">
        <v>900</v>
      </c>
      <c r="D21" s="12" t="n">
        <v>1000</v>
      </c>
      <c r="E21" s="12" t="n">
        <v>850</v>
      </c>
      <c r="F21" s="12" t="n">
        <v>950</v>
      </c>
      <c r="G21" s="12" t="n">
        <v>900</v>
      </c>
      <c r="H21" s="12" t="n">
        <v>1000</v>
      </c>
      <c r="I21" s="12" t="n">
        <v>850</v>
      </c>
      <c r="J21" s="12" t="n">
        <v>900</v>
      </c>
    </row>
    <row r="22" customFormat="false" ht="15" hidden="false" customHeight="false" outlineLevel="0" collapsed="false">
      <c r="A22" s="0" t="s">
        <v>65</v>
      </c>
      <c r="B22" s="12" t="n">
        <v>3000</v>
      </c>
      <c r="C22" s="12" t="n">
        <v>3000</v>
      </c>
      <c r="D22" s="12" t="n">
        <v>3000</v>
      </c>
      <c r="E22" s="12" t="n">
        <v>3000</v>
      </c>
      <c r="F22" s="12" t="n">
        <v>3000</v>
      </c>
      <c r="G22" s="12" t="n">
        <v>3000</v>
      </c>
      <c r="H22" s="12" t="n">
        <v>3000</v>
      </c>
      <c r="I22" s="12" t="n">
        <v>3000</v>
      </c>
      <c r="J22" s="12" t="n">
        <v>3000</v>
      </c>
    </row>
    <row r="23" customFormat="false" ht="15" hidden="false" customHeight="false" outlineLevel="0" collapsed="false">
      <c r="A23" s="0" t="s">
        <v>66</v>
      </c>
      <c r="B23" s="12" t="n">
        <v>1700</v>
      </c>
      <c r="C23" s="12" t="n">
        <v>1800</v>
      </c>
      <c r="D23" s="12" t="n">
        <v>1900</v>
      </c>
      <c r="E23" s="12" t="n">
        <v>2000</v>
      </c>
      <c r="F23" s="12" t="n">
        <v>2100</v>
      </c>
      <c r="G23" s="12" t="n">
        <v>2200</v>
      </c>
      <c r="H23" s="12" t="n">
        <v>2300</v>
      </c>
      <c r="I23" s="12" t="n">
        <v>2400</v>
      </c>
      <c r="J23" s="12" t="n">
        <v>2500</v>
      </c>
    </row>
    <row r="24" customFormat="false" ht="15" hidden="false" customHeight="false" outlineLevel="0" collapsed="false">
      <c r="A24" s="13" t="s">
        <v>67</v>
      </c>
      <c r="B24" s="14" t="n">
        <f aca="false">SUM(B15:B23)</f>
        <v>73500</v>
      </c>
      <c r="C24" s="14" t="n">
        <f aca="false">SUM(C15:C23)</f>
        <v>74750</v>
      </c>
      <c r="D24" s="14" t="n">
        <f aca="false">SUM(D15:D23)</f>
        <v>76300</v>
      </c>
      <c r="E24" s="14" t="n">
        <f aca="false">SUM(E15:E23)</f>
        <v>77800</v>
      </c>
      <c r="F24" s="14" t="n">
        <f aca="false">SUM(F15:F23)</f>
        <v>79050</v>
      </c>
      <c r="G24" s="14" t="n">
        <f aca="false">SUM(G15:G23)</f>
        <v>80600</v>
      </c>
      <c r="H24" s="14" t="n">
        <f aca="false">SUM(H15:H23)</f>
        <v>81900</v>
      </c>
      <c r="I24" s="14" t="n">
        <f aca="false">SUM(I15:I23)</f>
        <v>83400</v>
      </c>
      <c r="J24" s="14" t="n">
        <f aca="false">SUM(J15:J23)</f>
        <v>84600</v>
      </c>
    </row>
    <row r="26" customFormat="false" ht="15" hidden="false" customHeight="false" outlineLevel="0" collapsed="false">
      <c r="A26" s="15" t="s">
        <v>13</v>
      </c>
      <c r="B26" s="16" t="n">
        <f aca="false">B14-B25</f>
        <v>0</v>
      </c>
      <c r="C26" s="16" t="n">
        <f aca="false">C14-C25</f>
        <v>0</v>
      </c>
      <c r="D26" s="16" t="n">
        <f aca="false">D14-D25</f>
        <v>0</v>
      </c>
      <c r="E26" s="16" t="n">
        <f aca="false">E14-E25</f>
        <v>0</v>
      </c>
      <c r="F26" s="16" t="n">
        <f aca="false">F14-F25</f>
        <v>0</v>
      </c>
      <c r="G26" s="16" t="n">
        <f aca="false">G14-G25</f>
        <v>0</v>
      </c>
      <c r="H26" s="16" t="n">
        <f aca="false">H14-H25</f>
        <v>0</v>
      </c>
      <c r="I26" s="16" t="n">
        <f aca="false">I14-I25</f>
        <v>0</v>
      </c>
      <c r="J26" s="16" t="n">
        <f aca="false">J14-J25</f>
        <v>0</v>
      </c>
    </row>
    <row r="28" customFormat="false" ht="15" hidden="false" customHeight="false" outlineLevel="0" collapsed="false">
      <c r="A28" s="17" t="s">
        <v>68</v>
      </c>
      <c r="B28" s="18" t="n">
        <f aca="false">B5+B26</f>
        <v>35000</v>
      </c>
      <c r="C28" s="18" t="n">
        <f aca="false">C5+C26</f>
        <v>38000</v>
      </c>
      <c r="D28" s="18" t="n">
        <f aca="false">D5+D26</f>
        <v>45000</v>
      </c>
      <c r="E28" s="18" t="n">
        <f aca="false">E5+E26</f>
        <v>49500</v>
      </c>
      <c r="F28" s="18" t="n">
        <f aca="false">F5+F26</f>
        <v>56200</v>
      </c>
      <c r="G28" s="18" t="n">
        <f aca="false">G5+G26</f>
        <v>65400</v>
      </c>
      <c r="H28" s="18" t="n">
        <f aca="false">H5+H26</f>
        <v>76000</v>
      </c>
      <c r="I28" s="18" t="n">
        <f aca="false">I5+I26</f>
        <v>87800</v>
      </c>
      <c r="J28" s="18" t="n">
        <f aca="false">J5+J26</f>
        <v>99200</v>
      </c>
    </row>
    <row r="29" customFormat="false" ht="15" hidden="false" customHeight="false" outlineLevel="0" collapsed="false">
      <c r="A29" s="11" t="s">
        <v>69</v>
      </c>
      <c r="B29" s="19" t="n">
        <f aca="false">B26</f>
        <v>0</v>
      </c>
      <c r="C29" s="19" t="n">
        <f aca="false">B29+C26</f>
        <v>0</v>
      </c>
      <c r="D29" s="19" t="n">
        <f aca="false">C29+D26</f>
        <v>0</v>
      </c>
      <c r="E29" s="19" t="n">
        <f aca="false">D29+E26</f>
        <v>0</v>
      </c>
      <c r="F29" s="19" t="n">
        <f aca="false">E29+F26</f>
        <v>0</v>
      </c>
      <c r="G29" s="19" t="n">
        <f aca="false">F29+G26</f>
        <v>0</v>
      </c>
      <c r="H29" s="19" t="n">
        <f aca="false">G29+H26</f>
        <v>0</v>
      </c>
      <c r="I29" s="19" t="n">
        <f aca="false">H29+I26</f>
        <v>0</v>
      </c>
      <c r="J29" s="19" t="n">
        <f aca="false">I29+J26</f>
        <v>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3"/>
  </cols>
  <sheetData>
    <row r="1" customFormat="false" ht="17.35" hidden="false" customHeight="false" outlineLevel="0" collapsed="false">
      <c r="A1" s="7" t="s">
        <v>70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customFormat="false" ht="15" hidden="false" customHeight="false" outlineLevel="0" collapsed="false">
      <c r="A2" s="8" t="s">
        <v>71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4" customFormat="false" ht="15" hidden="false" customHeight="false" outlineLevel="0" collapsed="false">
      <c r="A4" s="9" t="s">
        <v>41</v>
      </c>
      <c r="B4" s="10" t="s">
        <v>42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</row>
    <row r="5" customFormat="false" ht="15" hidden="false" customHeight="false" outlineLevel="0" collapsed="false">
      <c r="A5" s="11" t="s">
        <v>50</v>
      </c>
      <c r="B5" s="12" t="n">
        <v>35000</v>
      </c>
      <c r="C5" s="12" t="n">
        <v>41500</v>
      </c>
      <c r="D5" s="12" t="n">
        <v>50500</v>
      </c>
      <c r="E5" s="12" t="n">
        <v>62000</v>
      </c>
      <c r="F5" s="12" t="n">
        <v>75500</v>
      </c>
      <c r="G5" s="12" t="n">
        <v>92000</v>
      </c>
      <c r="H5" s="12" t="n">
        <v>110500</v>
      </c>
      <c r="I5" s="12" t="n">
        <v>132000</v>
      </c>
      <c r="J5" s="12" t="n">
        <v>155000</v>
      </c>
    </row>
    <row r="7" customFormat="false" ht="15" hidden="false" customHeight="false" outlineLevel="0" collapsed="false">
      <c r="A7" s="13" t="s">
        <v>51</v>
      </c>
    </row>
    <row r="8" customFormat="false" ht="15" hidden="false" customHeight="false" outlineLevel="0" collapsed="false">
      <c r="A8" s="0" t="s">
        <v>52</v>
      </c>
      <c r="B8" s="12" t="n">
        <v>52000</v>
      </c>
      <c r="C8" s="12" t="n">
        <v>58000</v>
      </c>
      <c r="D8" s="12" t="n">
        <v>64000</v>
      </c>
      <c r="E8" s="12" t="n">
        <v>70000</v>
      </c>
      <c r="F8" s="12" t="n">
        <v>77000</v>
      </c>
      <c r="G8" s="12" t="n">
        <v>84000</v>
      </c>
      <c r="H8" s="12" t="n">
        <v>92000</v>
      </c>
      <c r="I8" s="12" t="n">
        <v>100000</v>
      </c>
      <c r="J8" s="12" t="n">
        <v>108000</v>
      </c>
    </row>
    <row r="9" customFormat="false" ht="15" hidden="false" customHeight="false" outlineLevel="0" collapsed="false">
      <c r="A9" s="0" t="s">
        <v>53</v>
      </c>
      <c r="B9" s="12" t="n">
        <v>25000</v>
      </c>
      <c r="C9" s="12" t="n">
        <v>27500</v>
      </c>
      <c r="D9" s="12" t="n">
        <v>30000</v>
      </c>
      <c r="E9" s="12" t="n">
        <v>33000</v>
      </c>
      <c r="F9" s="12" t="n">
        <v>36000</v>
      </c>
      <c r="G9" s="12" t="n">
        <v>39000</v>
      </c>
      <c r="H9" s="12" t="n">
        <v>42000</v>
      </c>
      <c r="I9" s="12" t="n">
        <v>45000</v>
      </c>
      <c r="J9" s="12" t="n">
        <v>48000</v>
      </c>
    </row>
    <row r="10" customFormat="false" ht="15" hidden="false" customHeight="false" outlineLevel="0" collapsed="false">
      <c r="A10" s="0" t="s">
        <v>54</v>
      </c>
      <c r="B10" s="12" t="n">
        <v>3000</v>
      </c>
      <c r="C10" s="12" t="n">
        <v>4000</v>
      </c>
      <c r="D10" s="12" t="n">
        <v>5500</v>
      </c>
      <c r="E10" s="12" t="n">
        <v>7000</v>
      </c>
      <c r="F10" s="12" t="n">
        <v>8500</v>
      </c>
      <c r="G10" s="12" t="n">
        <v>10000</v>
      </c>
      <c r="H10" s="12" t="n">
        <v>12000</v>
      </c>
      <c r="I10" s="12" t="n">
        <v>14000</v>
      </c>
      <c r="J10" s="12" t="n">
        <v>16000</v>
      </c>
    </row>
    <row r="11" customFormat="false" ht="15" hidden="false" customHeight="false" outlineLevel="0" collapsed="false">
      <c r="A11" s="0" t="s">
        <v>55</v>
      </c>
      <c r="B11" s="12" t="n">
        <v>500</v>
      </c>
      <c r="C11" s="12" t="n">
        <v>800</v>
      </c>
      <c r="D11" s="12" t="n">
        <v>1100</v>
      </c>
      <c r="E11" s="12" t="n">
        <v>1400</v>
      </c>
      <c r="F11" s="12" t="n">
        <v>1700</v>
      </c>
      <c r="G11" s="12" t="n">
        <v>2000</v>
      </c>
      <c r="H11" s="12" t="n">
        <v>2300</v>
      </c>
      <c r="I11" s="12" t="n">
        <v>2600</v>
      </c>
      <c r="J11" s="12" t="n">
        <v>2900</v>
      </c>
    </row>
    <row r="12" customFormat="false" ht="15" hidden="false" customHeight="false" outlineLevel="0" collapsed="false">
      <c r="A12" s="13" t="s">
        <v>56</v>
      </c>
      <c r="B12" s="14" t="n">
        <f aca="false">SUM(B8:B11)</f>
        <v>80500</v>
      </c>
      <c r="C12" s="14" t="n">
        <f aca="false">SUM(C8:C11)</f>
        <v>90300</v>
      </c>
      <c r="D12" s="14" t="n">
        <f aca="false">SUM(D8:D11)</f>
        <v>100600</v>
      </c>
      <c r="E12" s="14" t="n">
        <f aca="false">SUM(E8:E11)</f>
        <v>111400</v>
      </c>
      <c r="F12" s="14" t="n">
        <f aca="false">SUM(F8:F11)</f>
        <v>123200</v>
      </c>
      <c r="G12" s="14" t="n">
        <f aca="false">SUM(G8:G11)</f>
        <v>135000</v>
      </c>
      <c r="H12" s="14" t="n">
        <f aca="false">SUM(H8:H11)</f>
        <v>148300</v>
      </c>
      <c r="I12" s="14" t="n">
        <f aca="false">SUM(I8:I11)</f>
        <v>161600</v>
      </c>
      <c r="J12" s="14" t="n">
        <f aca="false">SUM(J8:J11)</f>
        <v>174900</v>
      </c>
    </row>
    <row r="14" customFormat="false" ht="15" hidden="false" customHeight="false" outlineLevel="0" collapsed="false">
      <c r="A14" s="13" t="s">
        <v>57</v>
      </c>
    </row>
    <row r="15" customFormat="false" ht="15" hidden="false" customHeight="false" outlineLevel="0" collapsed="false">
      <c r="A15" s="0" t="s">
        <v>58</v>
      </c>
      <c r="B15" s="12" t="n">
        <v>20800</v>
      </c>
      <c r="C15" s="12" t="n">
        <v>22500</v>
      </c>
      <c r="D15" s="12" t="n">
        <v>24500</v>
      </c>
      <c r="E15" s="12" t="n">
        <v>26500</v>
      </c>
      <c r="F15" s="12" t="n">
        <v>28500</v>
      </c>
      <c r="G15" s="12" t="n">
        <v>30500</v>
      </c>
      <c r="H15" s="12" t="n">
        <v>33000</v>
      </c>
      <c r="I15" s="12" t="n">
        <v>35500</v>
      </c>
      <c r="J15" s="12" t="n">
        <v>38000</v>
      </c>
    </row>
    <row r="16" customFormat="false" ht="15" hidden="false" customHeight="false" outlineLevel="0" collapsed="false">
      <c r="A16" s="0" t="s">
        <v>59</v>
      </c>
      <c r="B16" s="12" t="n">
        <v>12000</v>
      </c>
      <c r="C16" s="12" t="n">
        <v>12000</v>
      </c>
      <c r="D16" s="12" t="n">
        <v>12500</v>
      </c>
      <c r="E16" s="12" t="n">
        <v>12500</v>
      </c>
      <c r="F16" s="12" t="n">
        <v>13000</v>
      </c>
      <c r="G16" s="12" t="n">
        <v>13000</v>
      </c>
      <c r="H16" s="12" t="n">
        <v>13500</v>
      </c>
      <c r="I16" s="12" t="n">
        <v>13500</v>
      </c>
      <c r="J16" s="12" t="n">
        <v>14000</v>
      </c>
    </row>
    <row r="17" customFormat="false" ht="15" hidden="false" customHeight="false" outlineLevel="0" collapsed="false">
      <c r="A17" s="0" t="s">
        <v>60</v>
      </c>
      <c r="B17" s="12" t="n">
        <v>28000</v>
      </c>
      <c r="C17" s="12" t="n">
        <v>28500</v>
      </c>
      <c r="D17" s="12" t="n">
        <v>29000</v>
      </c>
      <c r="E17" s="12" t="n">
        <v>30000</v>
      </c>
      <c r="F17" s="12" t="n">
        <v>31000</v>
      </c>
      <c r="G17" s="12" t="n">
        <v>32000</v>
      </c>
      <c r="H17" s="12" t="n">
        <v>33000</v>
      </c>
      <c r="I17" s="12" t="n">
        <v>34000</v>
      </c>
      <c r="J17" s="12" t="n">
        <v>35000</v>
      </c>
    </row>
    <row r="18" customFormat="false" ht="15" hidden="false" customHeight="false" outlineLevel="0" collapsed="false">
      <c r="A18" s="0" t="s">
        <v>61</v>
      </c>
      <c r="B18" s="12" t="n">
        <v>3500</v>
      </c>
      <c r="C18" s="12" t="n">
        <v>4200</v>
      </c>
      <c r="D18" s="12" t="n">
        <v>4800</v>
      </c>
      <c r="E18" s="12" t="n">
        <v>5400</v>
      </c>
      <c r="F18" s="12" t="n">
        <v>6000</v>
      </c>
      <c r="G18" s="12" t="n">
        <v>6600</v>
      </c>
      <c r="H18" s="12" t="n">
        <v>7200</v>
      </c>
      <c r="I18" s="12" t="n">
        <v>7800</v>
      </c>
      <c r="J18" s="12" t="n">
        <v>8400</v>
      </c>
    </row>
    <row r="19" customFormat="false" ht="15" hidden="false" customHeight="false" outlineLevel="0" collapsed="false">
      <c r="A19" s="0" t="s">
        <v>62</v>
      </c>
      <c r="B19" s="12" t="n">
        <v>2500</v>
      </c>
      <c r="C19" s="12" t="n">
        <v>2700</v>
      </c>
      <c r="D19" s="12" t="n">
        <v>2900</v>
      </c>
      <c r="E19" s="12" t="n">
        <v>3100</v>
      </c>
      <c r="F19" s="12" t="n">
        <v>3300</v>
      </c>
      <c r="G19" s="12" t="n">
        <v>3500</v>
      </c>
      <c r="H19" s="12" t="n">
        <v>3700</v>
      </c>
      <c r="I19" s="12" t="n">
        <v>3900</v>
      </c>
      <c r="J19" s="12" t="n">
        <v>4100</v>
      </c>
    </row>
    <row r="20" customFormat="false" ht="15" hidden="false" customHeight="false" outlineLevel="0" collapsed="false">
      <c r="A20" s="0" t="s">
        <v>63</v>
      </c>
      <c r="B20" s="12" t="n">
        <v>1200</v>
      </c>
      <c r="C20" s="12" t="n">
        <v>1200</v>
      </c>
      <c r="D20" s="12" t="n">
        <v>1200</v>
      </c>
      <c r="E20" s="12" t="n">
        <v>1200</v>
      </c>
      <c r="F20" s="12" t="n">
        <v>1200</v>
      </c>
      <c r="G20" s="12" t="n">
        <v>1200</v>
      </c>
      <c r="H20" s="12" t="n">
        <v>1200</v>
      </c>
      <c r="I20" s="12" t="n">
        <v>1200</v>
      </c>
      <c r="J20" s="12" t="n">
        <v>1200</v>
      </c>
    </row>
    <row r="21" customFormat="false" ht="15" hidden="false" customHeight="false" outlineLevel="0" collapsed="false">
      <c r="A21" s="0" t="s">
        <v>64</v>
      </c>
      <c r="B21" s="12" t="n">
        <v>800</v>
      </c>
      <c r="C21" s="12" t="n">
        <v>900</v>
      </c>
      <c r="D21" s="12" t="n">
        <v>1000</v>
      </c>
      <c r="E21" s="12" t="n">
        <v>850</v>
      </c>
      <c r="F21" s="12" t="n">
        <v>1100</v>
      </c>
      <c r="G21" s="12" t="n">
        <v>900</v>
      </c>
      <c r="H21" s="12" t="n">
        <v>1200</v>
      </c>
      <c r="I21" s="12" t="n">
        <v>850</v>
      </c>
      <c r="J21" s="12" t="n">
        <v>1000</v>
      </c>
    </row>
    <row r="22" customFormat="false" ht="15" hidden="false" customHeight="false" outlineLevel="0" collapsed="false">
      <c r="A22" s="0" t="s">
        <v>65</v>
      </c>
      <c r="B22" s="12" t="n">
        <v>3000</v>
      </c>
      <c r="C22" s="12" t="n">
        <v>3000</v>
      </c>
      <c r="D22" s="12" t="n">
        <v>3000</v>
      </c>
      <c r="E22" s="12" t="n">
        <v>3000</v>
      </c>
      <c r="F22" s="12" t="n">
        <v>3000</v>
      </c>
      <c r="G22" s="12" t="n">
        <v>3000</v>
      </c>
      <c r="H22" s="12" t="n">
        <v>3000</v>
      </c>
      <c r="I22" s="12" t="n">
        <v>3000</v>
      </c>
      <c r="J22" s="12" t="n">
        <v>3000</v>
      </c>
    </row>
    <row r="23" customFormat="false" ht="15" hidden="false" customHeight="false" outlineLevel="0" collapsed="false">
      <c r="A23" s="0" t="s">
        <v>66</v>
      </c>
      <c r="B23" s="12" t="n">
        <v>1700</v>
      </c>
      <c r="C23" s="12" t="n">
        <v>1900</v>
      </c>
      <c r="D23" s="12" t="n">
        <v>2100</v>
      </c>
      <c r="E23" s="12" t="n">
        <v>2300</v>
      </c>
      <c r="F23" s="12" t="n">
        <v>2500</v>
      </c>
      <c r="G23" s="12" t="n">
        <v>2700</v>
      </c>
      <c r="H23" s="12" t="n">
        <v>2900</v>
      </c>
      <c r="I23" s="12" t="n">
        <v>3100</v>
      </c>
      <c r="J23" s="12" t="n">
        <v>3300</v>
      </c>
    </row>
    <row r="24" customFormat="false" ht="15" hidden="false" customHeight="false" outlineLevel="0" collapsed="false">
      <c r="A24" s="13" t="s">
        <v>67</v>
      </c>
      <c r="B24" s="14" t="n">
        <f aca="false">SUM(B15:B23)</f>
        <v>73500</v>
      </c>
      <c r="C24" s="14" t="n">
        <f aca="false">SUM(C15:C23)</f>
        <v>76900</v>
      </c>
      <c r="D24" s="14" t="n">
        <f aca="false">SUM(D15:D23)</f>
        <v>81000</v>
      </c>
      <c r="E24" s="14" t="n">
        <f aca="false">SUM(E15:E23)</f>
        <v>84850</v>
      </c>
      <c r="F24" s="14" t="n">
        <f aca="false">SUM(F15:F23)</f>
        <v>89600</v>
      </c>
      <c r="G24" s="14" t="n">
        <f aca="false">SUM(G15:G23)</f>
        <v>93400</v>
      </c>
      <c r="H24" s="14" t="n">
        <f aca="false">SUM(H15:H23)</f>
        <v>98700</v>
      </c>
      <c r="I24" s="14" t="n">
        <f aca="false">SUM(I15:I23)</f>
        <v>102850</v>
      </c>
      <c r="J24" s="14" t="n">
        <f aca="false">SUM(J15:J23)</f>
        <v>108000</v>
      </c>
    </row>
    <row r="26" customFormat="false" ht="15" hidden="false" customHeight="false" outlineLevel="0" collapsed="false">
      <c r="A26" s="15" t="s">
        <v>13</v>
      </c>
      <c r="B26" s="16" t="n">
        <f aca="false">B14-B25</f>
        <v>0</v>
      </c>
      <c r="C26" s="16" t="n">
        <f aca="false">C14-C25</f>
        <v>0</v>
      </c>
      <c r="D26" s="16" t="n">
        <f aca="false">D14-D25</f>
        <v>0</v>
      </c>
      <c r="E26" s="16" t="n">
        <f aca="false">E14-E25</f>
        <v>0</v>
      </c>
      <c r="F26" s="16" t="n">
        <f aca="false">F14-F25</f>
        <v>0</v>
      </c>
      <c r="G26" s="16" t="n">
        <f aca="false">G14-G25</f>
        <v>0</v>
      </c>
      <c r="H26" s="16" t="n">
        <f aca="false">H14-H25</f>
        <v>0</v>
      </c>
      <c r="I26" s="16" t="n">
        <f aca="false">I14-I25</f>
        <v>0</v>
      </c>
      <c r="J26" s="16" t="n">
        <f aca="false">J14-J25</f>
        <v>0</v>
      </c>
    </row>
    <row r="28" customFormat="false" ht="15" hidden="false" customHeight="false" outlineLevel="0" collapsed="false">
      <c r="A28" s="17" t="s">
        <v>68</v>
      </c>
      <c r="B28" s="18" t="n">
        <f aca="false">B5+B26</f>
        <v>35000</v>
      </c>
      <c r="C28" s="18" t="n">
        <f aca="false">C5+C26</f>
        <v>41500</v>
      </c>
      <c r="D28" s="18" t="n">
        <f aca="false">D5+D26</f>
        <v>50500</v>
      </c>
      <c r="E28" s="18" t="n">
        <f aca="false">E5+E26</f>
        <v>62000</v>
      </c>
      <c r="F28" s="18" t="n">
        <f aca="false">F5+F26</f>
        <v>75500</v>
      </c>
      <c r="G28" s="18" t="n">
        <f aca="false">G5+G26</f>
        <v>92000</v>
      </c>
      <c r="H28" s="18" t="n">
        <f aca="false">H5+H26</f>
        <v>110500</v>
      </c>
      <c r="I28" s="18" t="n">
        <f aca="false">I5+I26</f>
        <v>132000</v>
      </c>
      <c r="J28" s="18" t="n">
        <f aca="false">J5+J26</f>
        <v>155000</v>
      </c>
    </row>
    <row r="29" customFormat="false" ht="15" hidden="false" customHeight="false" outlineLevel="0" collapsed="false">
      <c r="A29" s="11" t="s">
        <v>69</v>
      </c>
      <c r="B29" s="19" t="n">
        <f aca="false">B26</f>
        <v>0</v>
      </c>
      <c r="C29" s="19" t="n">
        <f aca="false">B29+C26</f>
        <v>0</v>
      </c>
      <c r="D29" s="19" t="n">
        <f aca="false">C29+D26</f>
        <v>0</v>
      </c>
      <c r="E29" s="19" t="n">
        <f aca="false">D29+E26</f>
        <v>0</v>
      </c>
      <c r="F29" s="19" t="n">
        <f aca="false">E29+F26</f>
        <v>0</v>
      </c>
      <c r="G29" s="19" t="n">
        <f aca="false">F29+G26</f>
        <v>0</v>
      </c>
      <c r="H29" s="19" t="n">
        <f aca="false">G29+H26</f>
        <v>0</v>
      </c>
      <c r="I29" s="19" t="n">
        <f aca="false">H29+I26</f>
        <v>0</v>
      </c>
      <c r="J29" s="19" t="n">
        <f aca="false">I29+J26</f>
        <v>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3"/>
  </cols>
  <sheetData>
    <row r="1" customFormat="false" ht="17.35" hidden="false" customHeight="false" outlineLevel="0" collapsed="false">
      <c r="A1" s="7" t="s">
        <v>72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customFormat="false" ht="15" hidden="false" customHeight="false" outlineLevel="0" collapsed="false">
      <c r="A2" s="8" t="s">
        <v>73</v>
      </c>
      <c r="B2" s="8"/>
      <c r="C2" s="8"/>
      <c r="D2" s="8"/>
      <c r="E2" s="8"/>
      <c r="F2" s="8"/>
      <c r="G2" s="8"/>
      <c r="H2" s="8"/>
      <c r="I2" s="8"/>
      <c r="J2" s="8"/>
      <c r="K2" s="8"/>
    </row>
    <row r="4" customFormat="false" ht="15" hidden="false" customHeight="false" outlineLevel="0" collapsed="false">
      <c r="A4" s="9" t="s">
        <v>41</v>
      </c>
      <c r="B4" s="10" t="s">
        <v>42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</row>
    <row r="5" customFormat="false" ht="15" hidden="false" customHeight="false" outlineLevel="0" collapsed="false">
      <c r="A5" s="11" t="s">
        <v>50</v>
      </c>
      <c r="B5" s="12" t="n">
        <v>35000</v>
      </c>
      <c r="C5" s="12" t="n">
        <v>36500</v>
      </c>
      <c r="D5" s="12" t="n">
        <v>38500</v>
      </c>
      <c r="E5" s="12" t="n">
        <v>39000</v>
      </c>
      <c r="F5" s="12" t="n">
        <v>39500</v>
      </c>
      <c r="G5" s="12" t="n">
        <v>40500</v>
      </c>
      <c r="H5" s="12" t="n">
        <v>42000</v>
      </c>
      <c r="I5" s="12" t="n">
        <v>44000</v>
      </c>
      <c r="J5" s="12" t="n">
        <v>46500</v>
      </c>
    </row>
    <row r="7" customFormat="false" ht="15" hidden="false" customHeight="false" outlineLevel="0" collapsed="false">
      <c r="A7" s="13" t="s">
        <v>51</v>
      </c>
    </row>
    <row r="8" customFormat="false" ht="15" hidden="false" customHeight="false" outlineLevel="0" collapsed="false">
      <c r="A8" s="0" t="s">
        <v>52</v>
      </c>
      <c r="B8" s="12" t="n">
        <v>52000</v>
      </c>
      <c r="C8" s="12" t="n">
        <v>52500</v>
      </c>
      <c r="D8" s="12" t="n">
        <v>53000</v>
      </c>
      <c r="E8" s="12" t="n">
        <v>53000</v>
      </c>
      <c r="F8" s="12" t="n">
        <v>54000</v>
      </c>
      <c r="G8" s="12" t="n">
        <v>54500</v>
      </c>
      <c r="H8" s="12" t="n">
        <v>55000</v>
      </c>
      <c r="I8" s="12" t="n">
        <v>55500</v>
      </c>
      <c r="J8" s="12" t="n">
        <v>56000</v>
      </c>
    </row>
    <row r="9" customFormat="false" ht="15" hidden="false" customHeight="false" outlineLevel="0" collapsed="false">
      <c r="A9" s="0" t="s">
        <v>53</v>
      </c>
      <c r="B9" s="12" t="n">
        <v>25000</v>
      </c>
      <c r="C9" s="12" t="n">
        <v>25000</v>
      </c>
      <c r="D9" s="12" t="n">
        <v>25500</v>
      </c>
      <c r="E9" s="12" t="n">
        <v>25500</v>
      </c>
      <c r="F9" s="12" t="n">
        <v>26000</v>
      </c>
      <c r="G9" s="12" t="n">
        <v>26000</v>
      </c>
      <c r="H9" s="12" t="n">
        <v>26500</v>
      </c>
      <c r="I9" s="12" t="n">
        <v>27000</v>
      </c>
      <c r="J9" s="12" t="n">
        <v>27500</v>
      </c>
    </row>
    <row r="10" customFormat="false" ht="15" hidden="false" customHeight="false" outlineLevel="0" collapsed="false">
      <c r="A10" s="0" t="s">
        <v>54</v>
      </c>
      <c r="B10" s="12" t="n">
        <v>3000</v>
      </c>
      <c r="C10" s="12" t="n">
        <v>2800</v>
      </c>
      <c r="D10" s="12" t="n">
        <v>2900</v>
      </c>
      <c r="E10" s="12" t="n">
        <v>2700</v>
      </c>
      <c r="F10" s="12" t="n">
        <v>2800</v>
      </c>
      <c r="G10" s="12" t="n">
        <v>2900</v>
      </c>
      <c r="H10" s="12" t="n">
        <v>3000</v>
      </c>
      <c r="I10" s="12" t="n">
        <v>3100</v>
      </c>
      <c r="J10" s="12" t="n">
        <v>3200</v>
      </c>
    </row>
    <row r="11" customFormat="false" ht="15" hidden="false" customHeight="false" outlineLevel="0" collapsed="false">
      <c r="A11" s="0" t="s">
        <v>55</v>
      </c>
      <c r="B11" s="12" t="n">
        <v>500</v>
      </c>
      <c r="C11" s="12" t="n">
        <v>450</v>
      </c>
      <c r="D11" s="12" t="n">
        <v>500</v>
      </c>
      <c r="E11" s="12" t="n">
        <v>450</v>
      </c>
      <c r="F11" s="12" t="n">
        <v>500</v>
      </c>
      <c r="G11" s="12" t="n">
        <v>550</v>
      </c>
      <c r="H11" s="12" t="n">
        <v>600</v>
      </c>
      <c r="I11" s="12" t="n">
        <v>650</v>
      </c>
      <c r="J11" s="12" t="n">
        <v>700</v>
      </c>
    </row>
    <row r="12" customFormat="false" ht="15" hidden="false" customHeight="false" outlineLevel="0" collapsed="false">
      <c r="A12" s="13" t="s">
        <v>56</v>
      </c>
      <c r="B12" s="14" t="n">
        <f aca="false">SUM(B8:B11)</f>
        <v>80500</v>
      </c>
      <c r="C12" s="14" t="n">
        <f aca="false">SUM(C8:C11)</f>
        <v>80750</v>
      </c>
      <c r="D12" s="14" t="n">
        <f aca="false">SUM(D8:D11)</f>
        <v>81900</v>
      </c>
      <c r="E12" s="14" t="n">
        <f aca="false">SUM(E8:E11)</f>
        <v>81650</v>
      </c>
      <c r="F12" s="14" t="n">
        <f aca="false">SUM(F8:F11)</f>
        <v>83300</v>
      </c>
      <c r="G12" s="14" t="n">
        <f aca="false">SUM(G8:G11)</f>
        <v>83950</v>
      </c>
      <c r="H12" s="14" t="n">
        <f aca="false">SUM(H8:H11)</f>
        <v>85100</v>
      </c>
      <c r="I12" s="14" t="n">
        <f aca="false">SUM(I8:I11)</f>
        <v>86250</v>
      </c>
      <c r="J12" s="14" t="n">
        <f aca="false">SUM(J8:J11)</f>
        <v>87400</v>
      </c>
    </row>
    <row r="14" customFormat="false" ht="15" hidden="false" customHeight="false" outlineLevel="0" collapsed="false">
      <c r="A14" s="13" t="s">
        <v>57</v>
      </c>
    </row>
    <row r="15" customFormat="false" ht="15" hidden="false" customHeight="false" outlineLevel="0" collapsed="false">
      <c r="A15" s="0" t="s">
        <v>58</v>
      </c>
      <c r="B15" s="12" t="n">
        <v>21500</v>
      </c>
      <c r="C15" s="12" t="n">
        <v>21800</v>
      </c>
      <c r="D15" s="12" t="n">
        <v>22000</v>
      </c>
      <c r="E15" s="12" t="n">
        <v>22000</v>
      </c>
      <c r="F15" s="12" t="n">
        <v>22500</v>
      </c>
      <c r="G15" s="12" t="n">
        <v>23000</v>
      </c>
      <c r="H15" s="12" t="n">
        <v>23200</v>
      </c>
      <c r="I15" s="12" t="n">
        <v>23500</v>
      </c>
      <c r="J15" s="12" t="n">
        <v>23800</v>
      </c>
    </row>
    <row r="16" customFormat="false" ht="15" hidden="false" customHeight="false" outlineLevel="0" collapsed="false">
      <c r="A16" s="0" t="s">
        <v>59</v>
      </c>
      <c r="B16" s="12" t="n">
        <v>12000</v>
      </c>
      <c r="C16" s="12" t="n">
        <v>12000</v>
      </c>
      <c r="D16" s="12" t="n">
        <v>12500</v>
      </c>
      <c r="E16" s="12" t="n">
        <v>12500</v>
      </c>
      <c r="F16" s="12" t="n">
        <v>13000</v>
      </c>
      <c r="G16" s="12" t="n">
        <v>13000</v>
      </c>
      <c r="H16" s="12" t="n">
        <v>13500</v>
      </c>
      <c r="I16" s="12" t="n">
        <v>13500</v>
      </c>
      <c r="J16" s="12" t="n">
        <v>14000</v>
      </c>
    </row>
    <row r="17" customFormat="false" ht="15" hidden="false" customHeight="false" outlineLevel="0" collapsed="false">
      <c r="A17" s="0" t="s">
        <v>60</v>
      </c>
      <c r="B17" s="12" t="n">
        <v>28000</v>
      </c>
      <c r="C17" s="12" t="n">
        <v>28000</v>
      </c>
      <c r="D17" s="12" t="n">
        <v>28000</v>
      </c>
      <c r="E17" s="12" t="n">
        <v>28500</v>
      </c>
      <c r="F17" s="12" t="n">
        <v>28500</v>
      </c>
      <c r="G17" s="12" t="n">
        <v>29000</v>
      </c>
      <c r="H17" s="12" t="n">
        <v>29000</v>
      </c>
      <c r="I17" s="12" t="n">
        <v>29500</v>
      </c>
      <c r="J17" s="12" t="n">
        <v>29500</v>
      </c>
    </row>
    <row r="18" customFormat="false" ht="15" hidden="false" customHeight="false" outlineLevel="0" collapsed="false">
      <c r="A18" s="0" t="s">
        <v>61</v>
      </c>
      <c r="B18" s="12" t="n">
        <v>3500</v>
      </c>
      <c r="C18" s="12" t="n">
        <v>3200</v>
      </c>
      <c r="D18" s="12" t="n">
        <v>3000</v>
      </c>
      <c r="E18" s="12" t="n">
        <v>2800</v>
      </c>
      <c r="F18" s="12" t="n">
        <v>2600</v>
      </c>
      <c r="G18" s="12" t="n">
        <v>2500</v>
      </c>
      <c r="H18" s="12" t="n">
        <v>2400</v>
      </c>
      <c r="I18" s="12" t="n">
        <v>2300</v>
      </c>
      <c r="J18" s="12" t="n">
        <v>2200</v>
      </c>
    </row>
    <row r="19" customFormat="false" ht="15" hidden="false" customHeight="false" outlineLevel="0" collapsed="false">
      <c r="A19" s="0" t="s">
        <v>62</v>
      </c>
      <c r="B19" s="12" t="n">
        <v>2500</v>
      </c>
      <c r="C19" s="12" t="n">
        <v>2500</v>
      </c>
      <c r="D19" s="12" t="n">
        <v>2600</v>
      </c>
      <c r="E19" s="12" t="n">
        <v>2600</v>
      </c>
      <c r="F19" s="12" t="n">
        <v>2700</v>
      </c>
      <c r="G19" s="12" t="n">
        <v>2700</v>
      </c>
      <c r="H19" s="12" t="n">
        <v>2800</v>
      </c>
      <c r="I19" s="12" t="n">
        <v>2800</v>
      </c>
      <c r="J19" s="12" t="n">
        <v>2900</v>
      </c>
    </row>
    <row r="20" customFormat="false" ht="15" hidden="false" customHeight="false" outlineLevel="0" collapsed="false">
      <c r="A20" s="0" t="s">
        <v>63</v>
      </c>
      <c r="B20" s="12" t="n">
        <v>1200</v>
      </c>
      <c r="C20" s="12" t="n">
        <v>1200</v>
      </c>
      <c r="D20" s="12" t="n">
        <v>1200</v>
      </c>
      <c r="E20" s="12" t="n">
        <v>1200</v>
      </c>
      <c r="F20" s="12" t="n">
        <v>1200</v>
      </c>
      <c r="G20" s="12" t="n">
        <v>1200</v>
      </c>
      <c r="H20" s="12" t="n">
        <v>1200</v>
      </c>
      <c r="I20" s="12" t="n">
        <v>1200</v>
      </c>
      <c r="J20" s="12" t="n">
        <v>1200</v>
      </c>
    </row>
    <row r="21" customFormat="false" ht="15" hidden="false" customHeight="false" outlineLevel="0" collapsed="false">
      <c r="A21" s="0" t="s">
        <v>64</v>
      </c>
      <c r="B21" s="12" t="n">
        <v>800</v>
      </c>
      <c r="C21" s="12" t="n">
        <v>1200</v>
      </c>
      <c r="D21" s="12" t="n">
        <v>1000</v>
      </c>
      <c r="E21" s="12" t="n">
        <v>1400</v>
      </c>
      <c r="F21" s="12" t="n">
        <v>950</v>
      </c>
      <c r="G21" s="12" t="n">
        <v>1300</v>
      </c>
      <c r="H21" s="12" t="n">
        <v>1000</v>
      </c>
      <c r="I21" s="12" t="n">
        <v>1400</v>
      </c>
      <c r="J21" s="12" t="n">
        <v>900</v>
      </c>
    </row>
    <row r="22" customFormat="false" ht="15" hidden="false" customHeight="false" outlineLevel="0" collapsed="false">
      <c r="A22" s="0" t="s">
        <v>65</v>
      </c>
      <c r="B22" s="12" t="n">
        <v>3000</v>
      </c>
      <c r="C22" s="12" t="n">
        <v>3000</v>
      </c>
      <c r="D22" s="12" t="n">
        <v>3000</v>
      </c>
      <c r="E22" s="12" t="n">
        <v>3000</v>
      </c>
      <c r="F22" s="12" t="n">
        <v>3000</v>
      </c>
      <c r="G22" s="12" t="n">
        <v>3000</v>
      </c>
      <c r="H22" s="12" t="n">
        <v>3000</v>
      </c>
      <c r="I22" s="12" t="n">
        <v>3000</v>
      </c>
      <c r="J22" s="12" t="n">
        <v>3000</v>
      </c>
    </row>
    <row r="23" customFormat="false" ht="15" hidden="false" customHeight="false" outlineLevel="0" collapsed="false">
      <c r="A23" s="0" t="s">
        <v>66</v>
      </c>
      <c r="B23" s="12" t="n">
        <v>1700</v>
      </c>
      <c r="C23" s="12" t="n">
        <v>1850</v>
      </c>
      <c r="D23" s="12" t="n">
        <v>1900</v>
      </c>
      <c r="E23" s="12" t="n">
        <v>2000</v>
      </c>
      <c r="F23" s="12" t="n">
        <v>2050</v>
      </c>
      <c r="G23" s="12" t="n">
        <v>2100</v>
      </c>
      <c r="H23" s="12" t="n">
        <v>2150</v>
      </c>
      <c r="I23" s="12" t="n">
        <v>2200</v>
      </c>
      <c r="J23" s="12" t="n">
        <v>2250</v>
      </c>
    </row>
    <row r="24" customFormat="false" ht="15" hidden="false" customHeight="false" outlineLevel="0" collapsed="false">
      <c r="A24" s="13" t="s">
        <v>67</v>
      </c>
      <c r="B24" s="14" t="n">
        <f aca="false">SUM(B15:B23)</f>
        <v>74200</v>
      </c>
      <c r="C24" s="14" t="n">
        <f aca="false">SUM(C15:C23)</f>
        <v>74750</v>
      </c>
      <c r="D24" s="14" t="n">
        <f aca="false">SUM(D15:D23)</f>
        <v>75200</v>
      </c>
      <c r="E24" s="14" t="n">
        <f aca="false">SUM(E15:E23)</f>
        <v>76000</v>
      </c>
      <c r="F24" s="14" t="n">
        <f aca="false">SUM(F15:F23)</f>
        <v>76500</v>
      </c>
      <c r="G24" s="14" t="n">
        <f aca="false">SUM(G15:G23)</f>
        <v>77800</v>
      </c>
      <c r="H24" s="14" t="n">
        <f aca="false">SUM(H15:H23)</f>
        <v>78250</v>
      </c>
      <c r="I24" s="14" t="n">
        <f aca="false">SUM(I15:I23)</f>
        <v>79400</v>
      </c>
      <c r="J24" s="14" t="n">
        <f aca="false">SUM(J15:J23)</f>
        <v>79750</v>
      </c>
    </row>
    <row r="26" customFormat="false" ht="15" hidden="false" customHeight="false" outlineLevel="0" collapsed="false">
      <c r="A26" s="15" t="s">
        <v>13</v>
      </c>
      <c r="B26" s="16" t="n">
        <f aca="false">B14-B25</f>
        <v>0</v>
      </c>
      <c r="C26" s="16" t="n">
        <f aca="false">C14-C25</f>
        <v>0</v>
      </c>
      <c r="D26" s="16" t="n">
        <f aca="false">D14-D25</f>
        <v>0</v>
      </c>
      <c r="E26" s="16" t="n">
        <f aca="false">E14-E25</f>
        <v>0</v>
      </c>
      <c r="F26" s="16" t="n">
        <f aca="false">F14-F25</f>
        <v>0</v>
      </c>
      <c r="G26" s="16" t="n">
        <f aca="false">G14-G25</f>
        <v>0</v>
      </c>
      <c r="H26" s="16" t="n">
        <f aca="false">H14-H25</f>
        <v>0</v>
      </c>
      <c r="I26" s="16" t="n">
        <f aca="false">I14-I25</f>
        <v>0</v>
      </c>
      <c r="J26" s="16" t="n">
        <f aca="false">J14-J25</f>
        <v>0</v>
      </c>
    </row>
    <row r="28" customFormat="false" ht="15" hidden="false" customHeight="false" outlineLevel="0" collapsed="false">
      <c r="A28" s="17" t="s">
        <v>68</v>
      </c>
      <c r="B28" s="18" t="n">
        <f aca="false">B5+B26</f>
        <v>35000</v>
      </c>
      <c r="C28" s="18" t="n">
        <f aca="false">C5+C26</f>
        <v>36500</v>
      </c>
      <c r="D28" s="18" t="n">
        <f aca="false">D5+D26</f>
        <v>38500</v>
      </c>
      <c r="E28" s="18" t="n">
        <f aca="false">E5+E26</f>
        <v>39000</v>
      </c>
      <c r="F28" s="18" t="n">
        <f aca="false">F5+F26</f>
        <v>39500</v>
      </c>
      <c r="G28" s="18" t="n">
        <f aca="false">G5+G26</f>
        <v>40500</v>
      </c>
      <c r="H28" s="18" t="n">
        <f aca="false">H5+H26</f>
        <v>42000</v>
      </c>
      <c r="I28" s="18" t="n">
        <f aca="false">I5+I26</f>
        <v>44000</v>
      </c>
      <c r="J28" s="18" t="n">
        <f aca="false">J5+J26</f>
        <v>46500</v>
      </c>
    </row>
    <row r="29" customFormat="false" ht="15" hidden="false" customHeight="false" outlineLevel="0" collapsed="false">
      <c r="A29" s="11" t="s">
        <v>69</v>
      </c>
      <c r="B29" s="19" t="n">
        <f aca="false">B26</f>
        <v>0</v>
      </c>
      <c r="C29" s="19" t="n">
        <f aca="false">B29+C26</f>
        <v>0</v>
      </c>
      <c r="D29" s="19" t="n">
        <f aca="false">C29+D26</f>
        <v>0</v>
      </c>
      <c r="E29" s="19" t="n">
        <f aca="false">D29+E26</f>
        <v>0</v>
      </c>
      <c r="F29" s="19" t="n">
        <f aca="false">E29+F26</f>
        <v>0</v>
      </c>
      <c r="G29" s="19" t="n">
        <f aca="false">F29+G26</f>
        <v>0</v>
      </c>
      <c r="H29" s="19" t="n">
        <f aca="false">G29+H26</f>
        <v>0</v>
      </c>
      <c r="I29" s="19" t="n">
        <f aca="false">H29+I26</f>
        <v>0</v>
      </c>
      <c r="J29" s="19" t="n">
        <f aca="false">I29+J26</f>
        <v>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8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7" t="s">
        <v>31</v>
      </c>
      <c r="B1" s="7"/>
      <c r="C1" s="7"/>
      <c r="D1" s="7"/>
      <c r="E1" s="7"/>
    </row>
    <row r="3" customFormat="false" ht="15" hidden="false" customHeight="false" outlineLevel="0" collapsed="false">
      <c r="A3" s="3" t="s">
        <v>74</v>
      </c>
      <c r="B3" s="3"/>
    </row>
    <row r="4" customFormat="false" ht="15" hidden="false" customHeight="false" outlineLevel="0" collapsed="false">
      <c r="A4" s="0" t="s">
        <v>75</v>
      </c>
      <c r="B4" s="5" t="n">
        <v>15</v>
      </c>
    </row>
    <row r="5" customFormat="false" ht="15" hidden="false" customHeight="false" outlineLevel="0" collapsed="false">
      <c r="A5" s="0" t="s">
        <v>76</v>
      </c>
      <c r="B5" s="5" t="n">
        <v>8</v>
      </c>
    </row>
    <row r="6" customFormat="false" ht="15" hidden="false" customHeight="false" outlineLevel="0" collapsed="false">
      <c r="A6" s="0" t="s">
        <v>77</v>
      </c>
      <c r="B6" s="5" t="n">
        <f aca="false">B4-B5</f>
        <v>7</v>
      </c>
    </row>
    <row r="7" customFormat="false" ht="15" hidden="false" customHeight="false" outlineLevel="0" collapsed="false">
      <c r="A7" s="0" t="s">
        <v>78</v>
      </c>
      <c r="B7" s="5" t="n">
        <v>45000</v>
      </c>
    </row>
    <row r="8" customFormat="false" ht="15" hidden="false" customHeight="false" outlineLevel="0" collapsed="false">
      <c r="A8" s="20"/>
      <c r="B8" s="20"/>
    </row>
    <row r="9" customFormat="false" ht="15" hidden="false" customHeight="false" outlineLevel="0" collapsed="false">
      <c r="A9" s="20" t="s">
        <v>79</v>
      </c>
      <c r="B9" s="20"/>
    </row>
    <row r="10" customFormat="false" ht="15" hidden="false" customHeight="false" outlineLevel="0" collapsed="false">
      <c r="A10" s="0" t="s">
        <v>80</v>
      </c>
      <c r="B10" s="21" t="n">
        <f aca="false">B7/B6</f>
        <v>6428.57142857143</v>
      </c>
    </row>
    <row r="11" customFormat="false" ht="15" hidden="false" customHeight="false" outlineLevel="0" collapsed="false">
      <c r="A11" s="0" t="s">
        <v>81</v>
      </c>
      <c r="B11" s="22" t="n">
        <f aca="false">B10*B4</f>
        <v>96428.5714285714</v>
      </c>
    </row>
    <row r="12" customFormat="false" ht="15" hidden="false" customHeight="false" outlineLevel="0" collapsed="false">
      <c r="A12" s="20"/>
      <c r="B12" s="20"/>
    </row>
    <row r="13" customFormat="false" ht="15" hidden="false" customHeight="false" outlineLevel="0" collapsed="false">
      <c r="A13" s="20" t="s">
        <v>82</v>
      </c>
      <c r="B13" s="20"/>
    </row>
    <row r="14" customFormat="false" ht="15" hidden="false" customHeight="false" outlineLevel="0" collapsed="false">
      <c r="A14" s="0" t="s">
        <v>83</v>
      </c>
      <c r="B14" s="5" t="n">
        <v>85000</v>
      </c>
    </row>
    <row r="15" customFormat="false" ht="15" hidden="false" customHeight="false" outlineLevel="0" collapsed="false">
      <c r="A15" s="0" t="s">
        <v>84</v>
      </c>
      <c r="B15" s="23" t="n">
        <f aca="false">B14/B4</f>
        <v>5666.66666666667</v>
      </c>
    </row>
    <row r="16" customFormat="false" ht="15" hidden="false" customHeight="false" outlineLevel="0" collapsed="false">
      <c r="A16" s="0" t="s">
        <v>85</v>
      </c>
      <c r="B16" s="23" t="n">
        <f aca="false">B15-B10</f>
        <v>-761.904761904762</v>
      </c>
    </row>
    <row r="17" customFormat="false" ht="15" hidden="false" customHeight="false" outlineLevel="0" collapsed="false">
      <c r="A17" s="0" t="s">
        <v>86</v>
      </c>
      <c r="B17" s="5" t="n">
        <f aca="false">B14-B11</f>
        <v>-11428.5714285714</v>
      </c>
    </row>
    <row r="18" customFormat="false" ht="15" hidden="false" customHeight="false" outlineLevel="0" collapsed="false">
      <c r="A18" s="0" t="s">
        <v>87</v>
      </c>
      <c r="B18" s="5" t="n">
        <f aca="false">(B14-B11)/B14</f>
        <v>-0.134453781512605</v>
      </c>
    </row>
    <row r="21" customFormat="false" ht="15" hidden="false" customHeight="false" outlineLevel="0" collapsed="false">
      <c r="A21" s="3" t="s">
        <v>88</v>
      </c>
      <c r="B21" s="3"/>
      <c r="C21" s="3"/>
      <c r="D21" s="3"/>
      <c r="E21" s="3"/>
    </row>
    <row r="22" customFormat="false" ht="15" hidden="false" customHeight="false" outlineLevel="0" collapsed="false">
      <c r="A22" s="4" t="s">
        <v>89</v>
      </c>
      <c r="B22" s="4" t="s">
        <v>90</v>
      </c>
      <c r="C22" s="4" t="s">
        <v>91</v>
      </c>
      <c r="D22" s="4" t="s">
        <v>92</v>
      </c>
      <c r="E22" s="4" t="s">
        <v>93</v>
      </c>
    </row>
    <row r="23" customFormat="false" ht="15" hidden="false" customHeight="false" outlineLevel="0" collapsed="false">
      <c r="A23" s="5" t="n">
        <v>40000</v>
      </c>
      <c r="B23" s="23" t="n">
        <v>5714</v>
      </c>
      <c r="C23" s="5" t="n">
        <v>85710</v>
      </c>
      <c r="D23" s="19" t="n">
        <v>-710</v>
      </c>
      <c r="E23" s="24" t="n">
        <v>-0.008</v>
      </c>
    </row>
    <row r="24" customFormat="false" ht="15" hidden="false" customHeight="false" outlineLevel="0" collapsed="false">
      <c r="A24" s="5" t="n">
        <v>42500</v>
      </c>
      <c r="B24" s="23" t="n">
        <v>6071</v>
      </c>
      <c r="C24" s="5" t="n">
        <v>91065</v>
      </c>
      <c r="D24" s="19" t="n">
        <v>-6065</v>
      </c>
      <c r="E24" s="24" t="n">
        <v>-0.071</v>
      </c>
    </row>
    <row r="25" customFormat="false" ht="15" hidden="false" customHeight="false" outlineLevel="0" collapsed="false">
      <c r="A25" s="5" t="n">
        <v>45000</v>
      </c>
      <c r="B25" s="23" t="n">
        <v>6429</v>
      </c>
      <c r="C25" s="5" t="n">
        <v>96429</v>
      </c>
      <c r="D25" s="19" t="n">
        <v>-11429</v>
      </c>
      <c r="E25" s="24" t="n">
        <v>-0.134</v>
      </c>
    </row>
    <row r="26" customFormat="false" ht="15" hidden="false" customHeight="false" outlineLevel="0" collapsed="false">
      <c r="A26" s="5" t="n">
        <v>47500</v>
      </c>
      <c r="B26" s="23" t="n">
        <v>6786</v>
      </c>
      <c r="C26" s="5" t="n">
        <v>101786</v>
      </c>
      <c r="D26" s="19" t="n">
        <v>-16786</v>
      </c>
      <c r="E26" s="24" t="n">
        <v>-0.197</v>
      </c>
    </row>
    <row r="27" customFormat="false" ht="15" hidden="false" customHeight="false" outlineLevel="0" collapsed="false">
      <c r="A27" s="5" t="n">
        <v>50000</v>
      </c>
      <c r="B27" s="23" t="n">
        <v>7143</v>
      </c>
      <c r="C27" s="5" t="n">
        <v>107143</v>
      </c>
      <c r="D27" s="19" t="n">
        <v>-22143</v>
      </c>
      <c r="E27" s="24" t="n">
        <v>-0.26</v>
      </c>
    </row>
  </sheetData>
  <mergeCells count="7">
    <mergeCell ref="A1:E1"/>
    <mergeCell ref="A3:B3"/>
    <mergeCell ref="A8:B8"/>
    <mergeCell ref="A9:B9"/>
    <mergeCell ref="A12:B12"/>
    <mergeCell ref="A13:B13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5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7" t="s">
        <v>94</v>
      </c>
      <c r="B1" s="7"/>
      <c r="C1" s="7"/>
      <c r="D1" s="7"/>
      <c r="E1" s="7"/>
      <c r="F1" s="7"/>
    </row>
    <row r="3" customFormat="false" ht="15" hidden="false" customHeight="false" outlineLevel="0" collapsed="false">
      <c r="B3" s="0" t="s">
        <v>95</v>
      </c>
    </row>
    <row r="4" customFormat="false" ht="15" hidden="false" customHeight="false" outlineLevel="0" collapsed="false">
      <c r="A4" s="4" t="s">
        <v>96</v>
      </c>
      <c r="B4" s="4" t="s">
        <v>97</v>
      </c>
      <c r="C4" s="4" t="s">
        <v>98</v>
      </c>
      <c r="D4" s="4" t="s">
        <v>99</v>
      </c>
      <c r="E4" s="4" t="s">
        <v>100</v>
      </c>
      <c r="F4" s="4" t="s">
        <v>6</v>
      </c>
    </row>
    <row r="5" customFormat="false" ht="15" hidden="false" customHeight="false" outlineLevel="0" collapsed="false">
      <c r="A5" s="25" t="s">
        <v>101</v>
      </c>
      <c r="B5" s="6" t="s">
        <v>102</v>
      </c>
      <c r="C5" s="6" t="s">
        <v>103</v>
      </c>
      <c r="D5" s="6" t="s">
        <v>104</v>
      </c>
      <c r="E5" s="6" t="s">
        <v>105</v>
      </c>
      <c r="F5" s="6" t="s">
        <v>106</v>
      </c>
    </row>
    <row r="6" customFormat="false" ht="15" hidden="false" customHeight="false" outlineLevel="0" collapsed="false">
      <c r="A6" s="25" t="s">
        <v>101</v>
      </c>
      <c r="B6" s="6" t="s">
        <v>107</v>
      </c>
      <c r="C6" s="6" t="s">
        <v>108</v>
      </c>
      <c r="D6" s="6" t="s">
        <v>109</v>
      </c>
      <c r="E6" s="6" t="s">
        <v>110</v>
      </c>
      <c r="F6" s="6" t="s">
        <v>106</v>
      </c>
    </row>
    <row r="7" customFormat="false" ht="15" hidden="false" customHeight="false" outlineLevel="0" collapsed="false">
      <c r="A7" s="26" t="s">
        <v>111</v>
      </c>
      <c r="B7" s="6" t="s">
        <v>112</v>
      </c>
      <c r="C7" s="6" t="s">
        <v>113</v>
      </c>
      <c r="D7" s="6" t="s">
        <v>104</v>
      </c>
      <c r="E7" s="6" t="s">
        <v>114</v>
      </c>
      <c r="F7" s="6" t="s">
        <v>115</v>
      </c>
    </row>
    <row r="8" customFormat="false" ht="15" hidden="false" customHeight="false" outlineLevel="0" collapsed="false">
      <c r="A8" s="26" t="s">
        <v>111</v>
      </c>
      <c r="B8" s="6" t="s">
        <v>116</v>
      </c>
      <c r="C8" s="6" t="s">
        <v>117</v>
      </c>
      <c r="D8" s="6" t="s">
        <v>104</v>
      </c>
      <c r="E8" s="6" t="s">
        <v>105</v>
      </c>
      <c r="F8" s="6" t="s">
        <v>106</v>
      </c>
    </row>
    <row r="10" customFormat="false" ht="15" hidden="false" customHeight="false" outlineLevel="0" collapsed="false">
      <c r="B10" s="0" t="s">
        <v>118</v>
      </c>
    </row>
    <row r="11" customFormat="false" ht="15" hidden="false" customHeight="false" outlineLevel="0" collapsed="false">
      <c r="A11" s="4" t="s">
        <v>96</v>
      </c>
      <c r="B11" s="4" t="s">
        <v>97</v>
      </c>
      <c r="C11" s="4" t="s">
        <v>98</v>
      </c>
      <c r="D11" s="4" t="s">
        <v>99</v>
      </c>
      <c r="E11" s="4" t="s">
        <v>100</v>
      </c>
      <c r="F11" s="4" t="s">
        <v>6</v>
      </c>
    </row>
    <row r="12" customFormat="false" ht="15" hidden="false" customHeight="false" outlineLevel="0" collapsed="false">
      <c r="A12" s="25" t="s">
        <v>101</v>
      </c>
      <c r="B12" s="6" t="s">
        <v>119</v>
      </c>
      <c r="C12" s="6" t="s">
        <v>120</v>
      </c>
      <c r="D12" s="6" t="s">
        <v>121</v>
      </c>
      <c r="E12" s="6" t="s">
        <v>122</v>
      </c>
      <c r="F12" s="6" t="s">
        <v>123</v>
      </c>
    </row>
    <row r="13" customFormat="false" ht="15" hidden="false" customHeight="false" outlineLevel="0" collapsed="false">
      <c r="A13" s="25" t="s">
        <v>101</v>
      </c>
      <c r="B13" s="6" t="s">
        <v>124</v>
      </c>
      <c r="C13" s="6" t="s">
        <v>125</v>
      </c>
      <c r="D13" s="6" t="s">
        <v>104</v>
      </c>
      <c r="E13" s="6" t="s">
        <v>126</v>
      </c>
      <c r="F13" s="6" t="s">
        <v>106</v>
      </c>
    </row>
    <row r="14" customFormat="false" ht="15" hidden="false" customHeight="false" outlineLevel="0" collapsed="false">
      <c r="A14" s="26" t="s">
        <v>111</v>
      </c>
      <c r="B14" s="6" t="s">
        <v>127</v>
      </c>
      <c r="C14" s="6" t="s">
        <v>128</v>
      </c>
      <c r="D14" s="6" t="s">
        <v>129</v>
      </c>
      <c r="E14" s="6" t="s">
        <v>130</v>
      </c>
      <c r="F14" s="6" t="s">
        <v>131</v>
      </c>
    </row>
    <row r="15" customFormat="false" ht="15" hidden="false" customHeight="false" outlineLevel="0" collapsed="false">
      <c r="A15" s="26" t="s">
        <v>111</v>
      </c>
      <c r="B15" s="6" t="s">
        <v>132</v>
      </c>
      <c r="C15" s="6" t="s">
        <v>133</v>
      </c>
      <c r="D15" s="6" t="s">
        <v>134</v>
      </c>
      <c r="E15" s="6" t="s">
        <v>135</v>
      </c>
      <c r="F15" s="6" t="s">
        <v>123</v>
      </c>
    </row>
    <row r="16" customFormat="false" ht="15" hidden="false" customHeight="false" outlineLevel="0" collapsed="false">
      <c r="A16" s="27" t="s">
        <v>136</v>
      </c>
      <c r="B16" s="6" t="s">
        <v>137</v>
      </c>
      <c r="C16" s="6" t="s">
        <v>138</v>
      </c>
      <c r="D16" s="6" t="s">
        <v>104</v>
      </c>
      <c r="E16" s="6" t="s">
        <v>114</v>
      </c>
      <c r="F16" s="6" t="s">
        <v>139</v>
      </c>
    </row>
    <row r="18" customFormat="false" ht="15" hidden="false" customHeight="false" outlineLevel="0" collapsed="false">
      <c r="B18" s="0" t="s">
        <v>140</v>
      </c>
    </row>
    <row r="19" customFormat="false" ht="15" hidden="false" customHeight="false" outlineLevel="0" collapsed="false">
      <c r="A19" s="4" t="s">
        <v>96</v>
      </c>
      <c r="B19" s="4" t="s">
        <v>97</v>
      </c>
      <c r="C19" s="4" t="s">
        <v>98</v>
      </c>
      <c r="D19" s="4" t="s">
        <v>99</v>
      </c>
      <c r="E19" s="4" t="s">
        <v>100</v>
      </c>
      <c r="F19" s="4" t="s">
        <v>6</v>
      </c>
    </row>
    <row r="20" customFormat="false" ht="15" hidden="false" customHeight="false" outlineLevel="0" collapsed="false">
      <c r="A20" s="25" t="s">
        <v>101</v>
      </c>
      <c r="B20" s="6" t="s">
        <v>141</v>
      </c>
      <c r="C20" s="6" t="s">
        <v>142</v>
      </c>
      <c r="D20" s="6" t="s">
        <v>143</v>
      </c>
      <c r="E20" s="6" t="s">
        <v>144</v>
      </c>
      <c r="F20" s="6" t="s">
        <v>145</v>
      </c>
    </row>
    <row r="21" customFormat="false" ht="15" hidden="false" customHeight="false" outlineLevel="0" collapsed="false">
      <c r="A21" s="26" t="s">
        <v>111</v>
      </c>
      <c r="B21" s="6" t="s">
        <v>146</v>
      </c>
      <c r="C21" s="6" t="s">
        <v>147</v>
      </c>
      <c r="D21" s="6" t="s">
        <v>148</v>
      </c>
      <c r="E21" s="6" t="s">
        <v>149</v>
      </c>
      <c r="F21" s="6" t="s">
        <v>131</v>
      </c>
    </row>
    <row r="22" customFormat="false" ht="15" hidden="false" customHeight="false" outlineLevel="0" collapsed="false">
      <c r="A22" s="26" t="s">
        <v>111</v>
      </c>
      <c r="B22" s="6" t="s">
        <v>150</v>
      </c>
      <c r="C22" s="6" t="s">
        <v>120</v>
      </c>
      <c r="D22" s="6" t="s">
        <v>151</v>
      </c>
      <c r="E22" s="6" t="s">
        <v>152</v>
      </c>
      <c r="F22" s="6" t="s">
        <v>153</v>
      </c>
    </row>
    <row r="23" customFormat="false" ht="15" hidden="false" customHeight="false" outlineLevel="0" collapsed="false">
      <c r="A23" s="27" t="s">
        <v>136</v>
      </c>
      <c r="B23" s="6" t="s">
        <v>154</v>
      </c>
      <c r="C23" s="6" t="s">
        <v>155</v>
      </c>
      <c r="D23" s="6" t="s">
        <v>156</v>
      </c>
      <c r="E23" s="6" t="s">
        <v>157</v>
      </c>
      <c r="F23" s="6" t="s">
        <v>158</v>
      </c>
    </row>
    <row r="25" customFormat="false" ht="15" hidden="false" customHeight="false" outlineLevel="0" collapsed="false">
      <c r="B25" s="0" t="s">
        <v>159</v>
      </c>
    </row>
    <row r="26" customFormat="false" ht="15" hidden="false" customHeight="false" outlineLevel="0" collapsed="false">
      <c r="A26" s="4" t="s">
        <v>20</v>
      </c>
      <c r="B26" s="4" t="s">
        <v>160</v>
      </c>
      <c r="C26" s="4" t="s">
        <v>161</v>
      </c>
      <c r="D26" s="4" t="s">
        <v>162</v>
      </c>
    </row>
    <row r="27" customFormat="false" ht="15" hidden="false" customHeight="false" outlineLevel="0" collapsed="false">
      <c r="A27" s="0" t="s">
        <v>163</v>
      </c>
      <c r="B27" s="0" t="s">
        <v>164</v>
      </c>
      <c r="C27" s="0" t="s">
        <v>165</v>
      </c>
      <c r="D27" s="0" t="s">
        <v>166</v>
      </c>
    </row>
    <row r="28" customFormat="false" ht="15" hidden="false" customHeight="false" outlineLevel="0" collapsed="false">
      <c r="A28" s="0" t="s">
        <v>167</v>
      </c>
      <c r="B28" s="0" t="s">
        <v>168</v>
      </c>
      <c r="C28" s="0" t="s">
        <v>169</v>
      </c>
      <c r="D28" s="0" t="s">
        <v>170</v>
      </c>
    </row>
    <row r="29" customFormat="false" ht="15" hidden="false" customHeight="false" outlineLevel="0" collapsed="false">
      <c r="A29" s="0" t="s">
        <v>171</v>
      </c>
      <c r="B29" s="0" t="s">
        <v>172</v>
      </c>
      <c r="C29" s="0" t="s">
        <v>173</v>
      </c>
      <c r="D29" s="0" t="s">
        <v>174</v>
      </c>
    </row>
    <row r="30" customFormat="false" ht="15" hidden="false" customHeight="false" outlineLevel="0" collapsed="false">
      <c r="A30" s="0" t="s">
        <v>175</v>
      </c>
      <c r="B30" s="0" t="s">
        <v>176</v>
      </c>
      <c r="C30" s="0" t="s">
        <v>177</v>
      </c>
      <c r="D30" s="0" t="s">
        <v>178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2025-11-24T05:49:36Z</dcterms:created>
  <dc:creator>openpyxl</dc:creator>
  <dc:description/>
  <dc:language>en-US</dc:language>
  <cp:lastModifiedBy/>
  <dcterms:modified xsi:type="dcterms:W3CDTF">2025-11-24T05:49:36Z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