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Skenario Base" sheetId="2" state="visible" r:id="rId4"/>
    <sheet name="Skenario Optimistis" sheetId="3" state="visible" r:id="rId5"/>
    <sheet name="Skenario Pesimistis" sheetId="4" state="visible" r:id="rId6"/>
    <sheet name="Analisis Break-Even" sheetId="5" state="visible" r:id="rId7"/>
    <sheet name="Strategi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<sst xmlns="http://schemas.openxmlformats.org/spreadsheetml/2006/main" count="292" uniqueCount="186">
  <si>
    <t xml:space="preserve">PROYEKSI CASH FLOW CAFÉ</t>
  </si>
  <si>
    <t xml:space="preserve">Lokasi: Sumarecon Bekasi | Tanggal Analisis: November 2024</t>
  </si>
  <si>
    <t xml:space="preserve">METRIK KUNCI - STATUS SAAT INI</t>
  </si>
  <si>
    <t xml:space="preserve">Metrik</t>
  </si>
  <si>
    <t xml:space="preserve">Bulan Ini</t>
  </si>
  <si>
    <t xml:space="preserve">Rata-rata 3 Bulan</t>
  </si>
  <si>
    <t xml:space="preserve">Status</t>
  </si>
  <si>
    <t xml:space="preserve">Saldo Kas Saat Ini</t>
  </si>
  <si>
    <t xml:space="preserve">Sehat</t>
  </si>
  <si>
    <t xml:space="preserve">Pendapatan Bulanan</t>
  </si>
  <si>
    <t xml:space="preserve">Berkembang</t>
  </si>
  <si>
    <t xml:space="preserve">Biaya Operasional Bulanan</t>
  </si>
  <si>
    <t xml:space="preserve">Terkendali</t>
  </si>
  <si>
    <t xml:space="preserve">Net Cash Flow</t>
  </si>
  <si>
    <t xml:space="preserve">Positif</t>
  </si>
  <si>
    <t xml:space="preserve">Cash Runway (bulan)</t>
  </si>
  <si>
    <t xml:space="preserve">Bagus</t>
  </si>
  <si>
    <t xml:space="preserve">Burn Rate</t>
  </si>
  <si>
    <t xml:space="preserve">N/A</t>
  </si>
  <si>
    <t xml:space="preserve">PERBANDINGAN SKENARIO (Proyeksi 6 Bulan)</t>
  </si>
  <si>
    <t xml:space="preserve">Skenario</t>
  </si>
  <si>
    <t xml:space="preserve">Saldo Akhir</t>
  </si>
  <si>
    <t xml:space="preserve">Kumulatif CF</t>
  </si>
  <si>
    <t xml:space="preserve">Posisi Kas Minimum</t>
  </si>
  <si>
    <t xml:space="preserve">Level Risiko</t>
  </si>
  <si>
    <t xml:space="preserve">Optimistis</t>
  </si>
  <si>
    <t xml:space="preserve">Rendah</t>
  </si>
  <si>
    <t xml:space="preserve">Base Case</t>
  </si>
  <si>
    <t xml:space="preserve">Sedang</t>
  </si>
  <si>
    <t xml:space="preserve">Pesimistis</t>
  </si>
  <si>
    <t xml:space="preserve">Tinggi</t>
  </si>
  <si>
    <t xml:space="preserve">ANALISIS BREAK-EVEN</t>
  </si>
  <si>
    <t xml:space="preserve">Pendapatan Break-Even Bulanan</t>
  </si>
  <si>
    <t xml:space="preserve">Rp 490.000.000</t>
  </si>
  <si>
    <t xml:space="preserve">Pendapatan vs Break-Even</t>
  </si>
  <si>
    <t xml:space="preserve">133%</t>
  </si>
  <si>
    <t xml:space="preserve">Transaksi Bulanan Dibutuhkan</t>
  </si>
  <si>
    <t xml:space="preserve">4.900 transaksi</t>
  </si>
  <si>
    <t xml:space="preserve">Target Transaksi Harian</t>
  </si>
  <si>
    <t xml:space="preserve">163 transaksi</t>
  </si>
  <si>
    <t xml:space="preserve">Margin Keamanan</t>
  </si>
  <si>
    <t xml:space="preserve">Rp 160.000.000</t>
  </si>
  <si>
    <t xml:space="preserve">SKENARIO BASE CASE - Proyeksi Cash Flow</t>
  </si>
  <si>
    <t xml:space="preserve">Asumsi: Pertumbuhan steady 4-6% bulanan, operasional normal, kompetisi moderat</t>
  </si>
  <si>
    <t xml:space="preserve">KOMPONEN CASH FLOW</t>
  </si>
  <si>
    <t xml:space="preserve">Jul-24</t>
  </si>
  <si>
    <t xml:space="preserve">Agu-24</t>
  </si>
  <si>
    <t xml:space="preserve">Sep-24</t>
  </si>
  <si>
    <t xml:space="preserve">Okt-24</t>
  </si>
  <si>
    <t xml:space="preserve">Nov-24</t>
  </si>
  <si>
    <t xml:space="preserve">Des-24</t>
  </si>
  <si>
    <t xml:space="preserve">Jan-25</t>
  </si>
  <si>
    <t xml:space="preserve">Feb-25</t>
  </si>
  <si>
    <t xml:space="preserve">Mar-25</t>
  </si>
  <si>
    <t xml:space="preserve">Saldo Kas Awal</t>
  </si>
  <si>
    <t xml:space="preserve">ARUS KAS MASUK</t>
  </si>
  <si>
    <t xml:space="preserve">Penjualan Makanan</t>
  </si>
  <si>
    <t xml:space="preserve">Penjualan Minuman</t>
  </si>
  <si>
    <t xml:space="preserve">Penjualan Snack/Pastry</t>
  </si>
  <si>
    <t xml:space="preserve">Delivery/Online</t>
  </si>
  <si>
    <t xml:space="preserve">Event/Catering</t>
  </si>
  <si>
    <t xml:space="preserve">Merchandise</t>
  </si>
  <si>
    <t xml:space="preserve">Total Arus Kas Masuk</t>
  </si>
  <si>
    <t xml:space="preserve">ARUS KAS KELUAR</t>
  </si>
  <si>
    <t xml:space="preserve">Bahan Baku &amp; Supplies</t>
  </si>
  <si>
    <t xml:space="preserve">Sewa Tempat</t>
  </si>
  <si>
    <t xml:space="preserve">Gaji Karyawan</t>
  </si>
  <si>
    <t xml:space="preserve">Listrik &amp; Air</t>
  </si>
  <si>
    <t xml:space="preserve">Marketing &amp; Promosi</t>
  </si>
  <si>
    <t xml:space="preserve">Delivery Fee &amp; Komisi</t>
  </si>
  <si>
    <t xml:space="preserve">Maintenance &amp; Kebersihan</t>
  </si>
  <si>
    <t xml:space="preserve">Perizinan &amp; Pajak</t>
  </si>
  <si>
    <t xml:space="preserve">Penyusutan Peralatan</t>
  </si>
  <si>
    <t xml:space="preserve">Biaya Lain-lain</t>
  </si>
  <si>
    <t xml:space="preserve">Total Arus Kas Keluar</t>
  </si>
  <si>
    <t xml:space="preserve">Saldo Kas Akhir</t>
  </si>
  <si>
    <t xml:space="preserve">Kumulatif Cash Flow</t>
  </si>
  <si>
    <t xml:space="preserve">SKENARIO OPTIMISTIS - Proyeksi Cash Flow</t>
  </si>
  <si>
    <t xml:space="preserve">Asumsi: Pertumbuhan kuat 8-12% bulanan, viral marketing, peningkatan traffic mall</t>
  </si>
  <si>
    <t xml:space="preserve">SKENARIO PESIMISTIS - Proyeksi Cash Flow</t>
  </si>
  <si>
    <t xml:space="preserve">Asumsi: Pertumbuhan lambat 0-3% bulanan, kompetisi tinggi, penurunan traffic mall</t>
  </si>
  <si>
    <t xml:space="preserve">ASUMSI KUNCI</t>
  </si>
  <si>
    <t xml:space="preserve">Harga Jual Rata-rata per Transaksi</t>
  </si>
  <si>
    <t xml:space="preserve">Biaya Variabel per Transaksi</t>
  </si>
  <si>
    <t xml:space="preserve">Contribution Margin per Transaksi</t>
  </si>
  <si>
    <t xml:space="preserve">Biaya Tetap Bulanan Total</t>
  </si>
  <si>
    <t xml:space="preserve">PERHITUNGAN BREAK-EVEN</t>
  </si>
  <si>
    <t xml:space="preserve">Transaksi Break-Even (Bulanan)</t>
  </si>
  <si>
    <t xml:space="preserve">Pendapatan Break-Even (Bulanan)</t>
  </si>
  <si>
    <t xml:space="preserve">KINERJA SAAT INI</t>
  </si>
  <si>
    <t xml:space="preserve">Pendapatan Bulanan Saat Ini</t>
  </si>
  <si>
    <t xml:space="preserve">Transaksi Terjual Saat Ini</t>
  </si>
  <si>
    <t xml:space="preserve">Transaksi di Atas Break-Even</t>
  </si>
  <si>
    <t xml:space="preserve">Pendapatan di Atas Break-Even</t>
  </si>
  <si>
    <t xml:space="preserve">Margin Keamanan %</t>
  </si>
  <si>
    <t xml:space="preserve">ANALISIS SENSITIVITAS</t>
  </si>
  <si>
    <t xml:space="preserve">Level Biaya Tetap</t>
  </si>
  <si>
    <t xml:space="preserve">BE Transaksi</t>
  </si>
  <si>
    <t xml:space="preserve">BE Pendapatan</t>
  </si>
  <si>
    <t xml:space="preserve">Gap Saat Ini</t>
  </si>
  <si>
    <t xml:space="preserve">Safety %</t>
  </si>
  <si>
    <t xml:space="preserve">STRATEGI MANAJEMEN CASH FLOW &amp; REKOMENDASI</t>
  </si>
  <si>
    <t xml:space="preserve">AKSI SEGERA (0-30 hari)</t>
  </si>
  <si>
    <t xml:space="preserve">Prioritas</t>
  </si>
  <si>
    <t xml:space="preserve">Strategi</t>
  </si>
  <si>
    <t xml:space="preserve">Dampak yang Diharapkan</t>
  </si>
  <si>
    <t xml:space="preserve">Biaya</t>
  </si>
  <si>
    <t xml:space="preserve">Timeline</t>
  </si>
  <si>
    <t xml:space="preserve">TINGGI</t>
  </si>
  <si>
    <t xml:space="preserve">Nego payment terms dengan supplier (kredit 45 hari)</t>
  </si>
  <si>
    <t xml:space="preserve">Rp 50-80 jt/bulan</t>
  </si>
  <si>
    <t xml:space="preserve">Gratis</t>
  </si>
  <si>
    <t xml:space="preserve">2 minggu</t>
  </si>
  <si>
    <t xml:space="preserve">Direkomendasikan</t>
  </si>
  <si>
    <t xml:space="preserve">Implementasi early payment discount 3/10 net 30</t>
  </si>
  <si>
    <t xml:space="preserve">Rp 30-50 jt/bulan</t>
  </si>
  <si>
    <t xml:space="preserve">Loss: Rp 18 jt</t>
  </si>
  <si>
    <t xml:space="preserve">1 minggu</t>
  </si>
  <si>
    <t xml:space="preserve">SEDANG</t>
  </si>
  <si>
    <t xml:space="preserve">Review &amp; kurangi biaya discretionary</t>
  </si>
  <si>
    <t xml:space="preserve">Rp 20-30 jt/bulan</t>
  </si>
  <si>
    <t xml:space="preserve">Immediate</t>
  </si>
  <si>
    <t xml:space="preserve">In Progress</t>
  </si>
  <si>
    <t xml:space="preserve">Percepat tagihan AR (follow up ketat)</t>
  </si>
  <si>
    <t xml:space="preserve">Rp 40-60 jt one-time</t>
  </si>
  <si>
    <t xml:space="preserve">TAKTIK JANGKA PENDEK (1-3 bulan)</t>
  </si>
  <si>
    <t xml:space="preserve">Launch program member/loyalty card</t>
  </si>
  <si>
    <t xml:space="preserve">+Rp 60-100 jt/bulan</t>
  </si>
  <si>
    <t xml:space="preserve">Rp 15 jt</t>
  </si>
  <si>
    <t xml:space="preserve">4 minggu</t>
  </si>
  <si>
    <t xml:space="preserve">Under Review</t>
  </si>
  <si>
    <t xml:space="preserve">Optimasi inventory &amp; reduce waste 20%</t>
  </si>
  <si>
    <t xml:space="preserve">Rp 120 jt one-time</t>
  </si>
  <si>
    <t xml:space="preserve">6 minggu</t>
  </si>
  <si>
    <t xml:space="preserve">Paket bundling &amp; promo weekday</t>
  </si>
  <si>
    <t xml:space="preserve">+Rp 40-60 jt/bulan</t>
  </si>
  <si>
    <t xml:space="preserve">Rp 8 jt</t>
  </si>
  <si>
    <t xml:space="preserve">3 minggu</t>
  </si>
  <si>
    <t xml:space="preserve">Planning</t>
  </si>
  <si>
    <t xml:space="preserve">Partnership dengan tenant mall lain</t>
  </si>
  <si>
    <t xml:space="preserve">+Rp 30-50 jt/bulan</t>
  </si>
  <si>
    <t xml:space="preserve">Rp 5 jt</t>
  </si>
  <si>
    <t xml:space="preserve">8 minggu</t>
  </si>
  <si>
    <t xml:space="preserve">RENDAH</t>
  </si>
  <si>
    <t xml:space="preserve">Tunda pembelian equipment non-essential</t>
  </si>
  <si>
    <t xml:space="preserve">Rp 40-80 jt</t>
  </si>
  <si>
    <t xml:space="preserve">Implemented</t>
  </si>
  <si>
    <t xml:space="preserve">INISIATIF JANGKA PANJANG (3-6 bulan)</t>
  </si>
  <si>
    <t xml:space="preserve">Expand catering B2B ke kantor sekitar</t>
  </si>
  <si>
    <t xml:space="preserve">+Rp 100-150 jt/bulan</t>
  </si>
  <si>
    <t xml:space="preserve">Rp 35 jt</t>
  </si>
  <si>
    <t xml:space="preserve">12 minggu</t>
  </si>
  <si>
    <t xml:space="preserve">Research Phase</t>
  </si>
  <si>
    <t xml:space="preserve">Launch e-commerce/pre-order system</t>
  </si>
  <si>
    <t xml:space="preserve">+Rp 80-120 jt/bulan</t>
  </si>
  <si>
    <t xml:space="preserve">Rp 50 jt</t>
  </si>
  <si>
    <t xml:space="preserve">16 minggu</t>
  </si>
  <si>
    <t xml:space="preserve">Introduksi premium menu (margin tinggi)</t>
  </si>
  <si>
    <t xml:space="preserve">Rp 25 jt</t>
  </si>
  <si>
    <t xml:space="preserve">10 minggu</t>
  </si>
  <si>
    <t xml:space="preserve">Development</t>
  </si>
  <si>
    <t xml:space="preserve">Eksplorasi lokasi kedua atau franchise</t>
  </si>
  <si>
    <t xml:space="preserve">+Rp 200 jt+/bulan</t>
  </si>
  <si>
    <t xml:space="preserve">Rp 400 jt+</t>
  </si>
  <si>
    <t xml:space="preserve">24 minggu</t>
  </si>
  <si>
    <t xml:space="preserve">Future Consideration</t>
  </si>
  <si>
    <t xml:space="preserve">RENCANA KONTINGENSI DARURAT</t>
  </si>
  <si>
    <t xml:space="preserve">Aksi</t>
  </si>
  <si>
    <t xml:space="preserve">Hasil yang Diharapkan</t>
  </si>
  <si>
    <t xml:space="preserve">Trigger Aktivasi</t>
  </si>
  <si>
    <t xml:space="preserve">Kas &lt; Rp 250 jt</t>
  </si>
  <si>
    <t xml:space="preserve">Tarik line of credit (Rp 200 jt)</t>
  </si>
  <si>
    <t xml:space="preserve">Likuiditas immediate</t>
  </si>
  <si>
    <t xml:space="preserve">2 bulan berturut-turut CF negatif</t>
  </si>
  <si>
    <t xml:space="preserve">Kas &lt; Rp 150 jt</t>
  </si>
  <si>
    <t xml:space="preserve">Kurangi jam operasi/staff 15%</t>
  </si>
  <si>
    <t xml:space="preserve">Hemat Rp 35 jt/bulan</t>
  </si>
  <si>
    <t xml:space="preserve">Cash runway &lt; 3 bulan</t>
  </si>
  <si>
    <t xml:space="preserve">Kas &lt; Rp 100 jt</t>
  </si>
  <si>
    <t xml:space="preserve">Negosiasi defer payment supplier</t>
  </si>
  <si>
    <t xml:space="preserve">Hemat Rp 50 jt/bulan</t>
  </si>
  <si>
    <t xml:space="preserve">Emergency situation</t>
  </si>
  <si>
    <t xml:space="preserve">Kas &lt; Rp 75 jt</t>
  </si>
  <si>
    <t xml:space="preserve">Injeksi modal darurat diperlukan</t>
  </si>
  <si>
    <t xml:space="preserve">Investor/loan</t>
  </si>
  <si>
    <t xml:space="preserve">Critical threshold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</si>
</sst>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#,##0"/>
    <numFmt numFmtId="167" formatCode="0.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Cambria"/>
      <family val="0"/>
      <charset val="1"/>
    </font>
    <font>
      <i val="true"/>
      <sz val="10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0"/>
      <name val="Cambria"/>
      <family val="0"/>
      <charset val="1"/>
    </font>
    <font>
      <b val="true"/>
      <sz val="14"/>
      <name val="Cambria"/>
      <family val="0"/>
      <charset val="1"/>
    </font>
    <font>
      <i val="true"/>
      <sz val="11"/>
      <name val="Cambria"/>
      <family val="0"/>
      <charset val="1"/>
    </font>
    <font>
      <b val="true"/>
      <sz val="11"/>
      <color rgb="FF0000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00B050"/>
      <name val="Cambria"/>
      <family val="0"/>
      <charset val="1"/>
    </font>
    <font>
      <b val="true"/>
      <sz val="11"/>
      <color rgb="FFFF0000"/>
      <name val="Cambria"/>
      <family val="0"/>
      <charset val="1"/>
    </font>
    <font>
      <b val="true"/>
      <sz val="11"/>
      <color rgb="FFFF6600"/>
      <name val="Cambria"/>
      <family val="0"/>
      <charset val="1"/>
    </font>
    <font>
      <b val="true"/>
      <sz val="11"/>
      <color rgb="FF0066CC"/>
      <name val="Cambria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366092"/>
        <bgColor rgb="FF1F4E78"/>
      </patternFill>
    </fill>
    <fill>
      <patternFill patternType="solid">
        <fgColor rgb="FFB8CCE4"/>
        <bgColor rgb="FF99CCFF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B8CCE4"/>
      </patternFill>
    </fill>
    <fill>
      <patternFill patternType="solid">
        <fgColor rgb="FFFFC000"/>
        <bgColor rgb="FFFF9900"/>
      </patternFill>
    </fill>
    <fill>
      <patternFill patternType="solid">
        <fgColor rgb="FF00B050"/>
        <bgColor rgb="FF008080"/>
      </patternFill>
    </fill>
    <fill>
      <patternFill patternType="solid">
        <fgColor rgb="FFFFE699"/>
        <bgColor rgb="FFFFCC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8C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366092"/>
      <rgbColor rgb="FF969696"/>
      <rgbColor rgb="FF003366"/>
      <rgbColor rgb="FF00B050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4" min="2" style="0" width="20"/>
    <col collapsed="false" customWidth="true" hidden="false" outlineLevel="0" max="5" min="5" style="0" width="18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3" t="s">
        <v>2</v>
      </c>
      <c r="B4" s="3"/>
      <c r="C4" s="3"/>
      <c r="D4" s="3"/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</row>
    <row r="6" customFormat="false" ht="15" hidden="false" customHeight="false" outlineLevel="0" collapsed="false">
      <c r="A6" s="0" t="s">
        <v>7</v>
      </c>
      <c r="B6" s="5" t="n">
        <v>425000000</v>
      </c>
      <c r="C6" s="5" t="n">
        <v>398333333</v>
      </c>
      <c r="D6" s="6" t="s">
        <v>8</v>
      </c>
    </row>
    <row r="7" customFormat="false" ht="15" hidden="false" customHeight="false" outlineLevel="0" collapsed="false">
      <c r="A7" s="0" t="s">
        <v>9</v>
      </c>
      <c r="B7" s="5" t="n">
        <v>650000000</v>
      </c>
      <c r="C7" s="5" t="n">
        <v>631666667</v>
      </c>
      <c r="D7" s="6" t="s">
        <v>10</v>
      </c>
    </row>
    <row r="8" customFormat="false" ht="15" hidden="false" customHeight="false" outlineLevel="0" collapsed="false">
      <c r="A8" s="0" t="s">
        <v>11</v>
      </c>
      <c r="B8" s="5" t="n">
        <v>525000000</v>
      </c>
      <c r="C8" s="5" t="n">
        <v>513333333</v>
      </c>
      <c r="D8" s="6" t="s">
        <v>12</v>
      </c>
    </row>
    <row r="9" customFormat="false" ht="15" hidden="false" customHeight="false" outlineLevel="0" collapsed="false">
      <c r="A9" s="0" t="s">
        <v>13</v>
      </c>
      <c r="B9" s="5" t="n">
        <v>125000000</v>
      </c>
      <c r="C9" s="5" t="n">
        <v>118333333</v>
      </c>
      <c r="D9" s="6" t="s">
        <v>14</v>
      </c>
    </row>
    <row r="10" customFormat="false" ht="15" hidden="false" customHeight="false" outlineLevel="0" collapsed="false">
      <c r="A10" s="0" t="s">
        <v>15</v>
      </c>
      <c r="B10" s="5" t="n">
        <v>8.1</v>
      </c>
      <c r="C10" s="5" t="n">
        <v>7.8</v>
      </c>
      <c r="D10" s="6" t="s">
        <v>16</v>
      </c>
    </row>
    <row r="11" customFormat="false" ht="15" hidden="false" customHeight="false" outlineLevel="0" collapsed="false">
      <c r="A11" s="0" t="s">
        <v>17</v>
      </c>
      <c r="B11" s="5" t="n">
        <v>0</v>
      </c>
      <c r="C11" s="5" t="n">
        <v>0</v>
      </c>
      <c r="D11" s="6" t="s">
        <v>18</v>
      </c>
    </row>
    <row r="13" customFormat="false" ht="15" hidden="false" customHeight="false" outlineLevel="0" collapsed="false">
      <c r="A13" s="3" t="s">
        <v>19</v>
      </c>
      <c r="B13" s="3"/>
      <c r="C13" s="3"/>
      <c r="D13" s="3"/>
      <c r="E13" s="3"/>
    </row>
    <row r="14" customFormat="false" ht="15" hidden="false" customHeight="false" outlineLevel="0" collapsed="false">
      <c r="A14" s="4" t="s">
        <v>20</v>
      </c>
      <c r="B14" s="4" t="s">
        <v>21</v>
      </c>
      <c r="C14" s="4" t="s">
        <v>22</v>
      </c>
      <c r="D14" s="4" t="s">
        <v>23</v>
      </c>
      <c r="E14" s="4" t="s">
        <v>24</v>
      </c>
    </row>
    <row r="15" customFormat="false" ht="15" hidden="false" customHeight="false" outlineLevel="0" collapsed="false">
      <c r="A15" s="0" t="s">
        <v>25</v>
      </c>
      <c r="B15" s="5" t="n">
        <v>1285000000</v>
      </c>
      <c r="C15" s="5" t="n">
        <v>860000000</v>
      </c>
      <c r="D15" s="5" t="n">
        <v>425000000</v>
      </c>
      <c r="E15" s="6" t="s">
        <v>26</v>
      </c>
    </row>
    <row r="16" customFormat="false" ht="15" hidden="false" customHeight="false" outlineLevel="0" collapsed="false">
      <c r="A16" s="0" t="s">
        <v>27</v>
      </c>
      <c r="B16" s="5" t="n">
        <v>1065000000</v>
      </c>
      <c r="C16" s="5" t="n">
        <v>640000000</v>
      </c>
      <c r="D16" s="5" t="n">
        <v>385000000</v>
      </c>
      <c r="E16" s="6" t="s">
        <v>28</v>
      </c>
    </row>
    <row r="17" customFormat="false" ht="15" hidden="false" customHeight="false" outlineLevel="0" collapsed="false">
      <c r="A17" s="0" t="s">
        <v>29</v>
      </c>
      <c r="B17" s="5" t="n">
        <v>695000000</v>
      </c>
      <c r="C17" s="5" t="n">
        <v>270000000</v>
      </c>
      <c r="D17" s="5" t="n">
        <v>295000000</v>
      </c>
      <c r="E17" s="6" t="s">
        <v>30</v>
      </c>
    </row>
    <row r="19" customFormat="false" ht="15" hidden="false" customHeight="false" outlineLevel="0" collapsed="false">
      <c r="A19" s="3" t="s">
        <v>31</v>
      </c>
      <c r="B19" s="3"/>
      <c r="C19" s="3"/>
      <c r="D19" s="3"/>
    </row>
    <row r="20" customFormat="false" ht="15" hidden="false" customHeight="false" outlineLevel="0" collapsed="false">
      <c r="A20" s="0" t="s">
        <v>32</v>
      </c>
      <c r="B20" s="0" t="s">
        <v>33</v>
      </c>
    </row>
    <row r="21" customFormat="false" ht="15" hidden="false" customHeight="false" outlineLevel="0" collapsed="false">
      <c r="A21" s="0" t="s">
        <v>34</v>
      </c>
      <c r="B21" s="0" t="s">
        <v>35</v>
      </c>
    </row>
    <row r="22" customFormat="false" ht="15" hidden="false" customHeight="false" outlineLevel="0" collapsed="false">
      <c r="A22" s="0" t="s">
        <v>36</v>
      </c>
      <c r="B22" s="0" t="s">
        <v>37</v>
      </c>
    </row>
    <row r="23" customFormat="false" ht="15" hidden="false" customHeight="false" outlineLevel="0" collapsed="false">
      <c r="A23" s="0" t="s">
        <v>38</v>
      </c>
      <c r="B23" s="0" t="s">
        <v>39</v>
      </c>
    </row>
    <row r="24" customFormat="false" ht="15" hidden="false" customHeight="false" outlineLevel="0" collapsed="false">
      <c r="A24" s="0" t="s">
        <v>40</v>
      </c>
      <c r="B24" s="0" t="s">
        <v>41</v>
      </c>
    </row>
  </sheetData>
  <mergeCells count="5">
    <mergeCell ref="A1:H1"/>
    <mergeCell ref="A2:H2"/>
    <mergeCell ref="A4:D4"/>
    <mergeCell ref="A13:E13"/>
    <mergeCell ref="A19:D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10" min="2" style="0" width="14"/>
  </cols>
  <sheetData>
    <row r="1" customFormat="false" ht="17.35" hidden="false" customHeight="false" outlineLevel="0" collapsed="false">
      <c r="A1" s="7" t="s">
        <v>42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customFormat="false" ht="15" hidden="false" customHeight="false" outlineLevel="0" collapsed="false">
      <c r="A2" s="8" t="s">
        <v>43</v>
      </c>
      <c r="B2" s="8"/>
      <c r="C2" s="8"/>
      <c r="D2" s="8"/>
      <c r="E2" s="8"/>
      <c r="F2" s="8"/>
      <c r="G2" s="8"/>
      <c r="H2" s="8"/>
      <c r="I2" s="8"/>
      <c r="J2" s="8"/>
      <c r="K2" s="8"/>
    </row>
    <row r="4" customFormat="false" ht="15" hidden="false" customHeight="false" outlineLevel="0" collapsed="false">
      <c r="A4" s="9" t="s">
        <v>44</v>
      </c>
      <c r="B4" s="10" t="s">
        <v>45</v>
      </c>
      <c r="C4" s="10" t="s">
        <v>46</v>
      </c>
      <c r="D4" s="10" t="s">
        <v>47</v>
      </c>
      <c r="E4" s="10" t="s">
        <v>48</v>
      </c>
      <c r="F4" s="10" t="s">
        <v>49</v>
      </c>
      <c r="G4" s="10" t="s">
        <v>50</v>
      </c>
      <c r="H4" s="10" t="s">
        <v>51</v>
      </c>
      <c r="I4" s="10" t="s">
        <v>52</v>
      </c>
      <c r="J4" s="10" t="s">
        <v>53</v>
      </c>
    </row>
    <row r="5" customFormat="false" ht="15" hidden="false" customHeight="false" outlineLevel="0" collapsed="false">
      <c r="A5" s="11" t="s">
        <v>54</v>
      </c>
      <c r="B5" s="12" t="n">
        <v>300000000</v>
      </c>
      <c r="C5" s="12" t="n">
        <v>325000000</v>
      </c>
      <c r="D5" s="12" t="n">
        <v>365000000</v>
      </c>
      <c r="E5" s="12" t="n">
        <v>425000000</v>
      </c>
      <c r="F5" s="12" t="n">
        <v>490000000</v>
      </c>
      <c r="G5" s="12" t="n">
        <v>570000000</v>
      </c>
      <c r="H5" s="12" t="n">
        <v>665000000</v>
      </c>
      <c r="I5" s="12" t="n">
        <v>775000000</v>
      </c>
      <c r="J5" s="12" t="n">
        <v>900000000</v>
      </c>
    </row>
    <row r="7" customFormat="false" ht="15" hidden="false" customHeight="false" outlineLevel="0" collapsed="false">
      <c r="A7" s="13" t="s">
        <v>55</v>
      </c>
    </row>
    <row r="8" customFormat="false" ht="15" hidden="false" customHeight="false" outlineLevel="0" collapsed="false">
      <c r="A8" s="0" t="s">
        <v>56</v>
      </c>
      <c r="B8" s="12" t="n">
        <v>180000000</v>
      </c>
      <c r="C8" s="12" t="n">
        <v>190000000</v>
      </c>
      <c r="D8" s="12" t="n">
        <v>200000000</v>
      </c>
      <c r="E8" s="12" t="n">
        <v>210000000</v>
      </c>
      <c r="F8" s="12" t="n">
        <v>220000000</v>
      </c>
      <c r="G8" s="12" t="n">
        <v>230000000</v>
      </c>
      <c r="H8" s="12" t="n">
        <v>242000000</v>
      </c>
      <c r="I8" s="12" t="n">
        <v>254000000</v>
      </c>
      <c r="J8" s="12" t="n">
        <v>267000000</v>
      </c>
    </row>
    <row r="9" customFormat="false" ht="15" hidden="false" customHeight="false" outlineLevel="0" collapsed="false">
      <c r="A9" s="0" t="s">
        <v>57</v>
      </c>
      <c r="B9" s="12" t="n">
        <v>280000000</v>
      </c>
      <c r="C9" s="12" t="n">
        <v>290000000</v>
      </c>
      <c r="D9" s="12" t="n">
        <v>305000000</v>
      </c>
      <c r="E9" s="12" t="n">
        <v>320000000</v>
      </c>
      <c r="F9" s="12" t="n">
        <v>335000000</v>
      </c>
      <c r="G9" s="12" t="n">
        <v>350000000</v>
      </c>
      <c r="H9" s="12" t="n">
        <v>368000000</v>
      </c>
      <c r="I9" s="12" t="n">
        <v>386000000</v>
      </c>
      <c r="J9" s="12" t="n">
        <v>405000000</v>
      </c>
    </row>
    <row r="10" customFormat="false" ht="15" hidden="false" customHeight="false" outlineLevel="0" collapsed="false">
      <c r="A10" s="0" t="s">
        <v>58</v>
      </c>
      <c r="B10" s="12" t="n">
        <v>85000000</v>
      </c>
      <c r="C10" s="12" t="n">
        <v>90000000</v>
      </c>
      <c r="D10" s="12" t="n">
        <v>95000000</v>
      </c>
      <c r="E10" s="12" t="n">
        <v>100000000</v>
      </c>
      <c r="F10" s="12" t="n">
        <v>105000000</v>
      </c>
      <c r="G10" s="12" t="n">
        <v>110000000</v>
      </c>
      <c r="H10" s="12" t="n">
        <v>116000000</v>
      </c>
      <c r="I10" s="12" t="n">
        <v>122000000</v>
      </c>
      <c r="J10" s="12" t="n">
        <v>128000000</v>
      </c>
    </row>
    <row r="11" customFormat="false" ht="15" hidden="false" customHeight="false" outlineLevel="0" collapsed="false">
      <c r="A11" s="0" t="s">
        <v>59</v>
      </c>
      <c r="B11" s="12" t="n">
        <v>45000000</v>
      </c>
      <c r="C11" s="12" t="n">
        <v>48000000</v>
      </c>
      <c r="D11" s="12" t="n">
        <v>52000000</v>
      </c>
      <c r="E11" s="12" t="n">
        <v>56000000</v>
      </c>
      <c r="F11" s="12" t="n">
        <v>60000000</v>
      </c>
      <c r="G11" s="12" t="n">
        <v>65000000</v>
      </c>
      <c r="H11" s="12" t="n">
        <v>70000000</v>
      </c>
      <c r="I11" s="12" t="n">
        <v>75000000</v>
      </c>
      <c r="J11" s="12" t="n">
        <v>80000000</v>
      </c>
    </row>
    <row r="12" customFormat="false" ht="15" hidden="false" customHeight="false" outlineLevel="0" collapsed="false">
      <c r="A12" s="0" t="s">
        <v>60</v>
      </c>
      <c r="B12" s="12" t="n">
        <v>15000000</v>
      </c>
      <c r="C12" s="12" t="n">
        <v>18000000</v>
      </c>
      <c r="D12" s="12" t="n">
        <v>20000000</v>
      </c>
      <c r="E12" s="12" t="n">
        <v>22000000</v>
      </c>
      <c r="F12" s="12" t="n">
        <v>25000000</v>
      </c>
      <c r="G12" s="12" t="n">
        <v>28000000</v>
      </c>
      <c r="H12" s="12" t="n">
        <v>32000000</v>
      </c>
      <c r="I12" s="12" t="n">
        <v>36000000</v>
      </c>
      <c r="J12" s="12" t="n">
        <v>40000000</v>
      </c>
    </row>
    <row r="13" customFormat="false" ht="15" hidden="false" customHeight="false" outlineLevel="0" collapsed="false">
      <c r="A13" s="0" t="s">
        <v>61</v>
      </c>
      <c r="B13" s="12" t="n">
        <v>8000000</v>
      </c>
      <c r="C13" s="12" t="n">
        <v>9000000</v>
      </c>
      <c r="D13" s="12" t="n">
        <v>10000000</v>
      </c>
      <c r="E13" s="12" t="n">
        <v>11000000</v>
      </c>
      <c r="F13" s="12" t="n">
        <v>12000000</v>
      </c>
      <c r="G13" s="12" t="n">
        <v>13000000</v>
      </c>
      <c r="H13" s="12" t="n">
        <v>14000000</v>
      </c>
      <c r="I13" s="12" t="n">
        <v>15000000</v>
      </c>
      <c r="J13" s="12" t="n">
        <v>16000000</v>
      </c>
    </row>
    <row r="14" customFormat="false" ht="15" hidden="false" customHeight="false" outlineLevel="0" collapsed="false">
      <c r="A14" s="13" t="s">
        <v>62</v>
      </c>
      <c r="B14" s="14" t="n">
        <f aca="false">SUM(B8:B13)</f>
        <v>613000000</v>
      </c>
      <c r="C14" s="14" t="n">
        <f aca="false">SUM(C8:C13)</f>
        <v>645000000</v>
      </c>
      <c r="D14" s="14" t="n">
        <f aca="false">SUM(D8:D13)</f>
        <v>682000000</v>
      </c>
      <c r="E14" s="14" t="n">
        <f aca="false">SUM(E8:E13)</f>
        <v>719000000</v>
      </c>
      <c r="F14" s="14" t="n">
        <f aca="false">SUM(F8:F13)</f>
        <v>757000000</v>
      </c>
      <c r="G14" s="14" t="n">
        <f aca="false">SUM(G8:G13)</f>
        <v>796000000</v>
      </c>
      <c r="H14" s="14" t="n">
        <f aca="false">SUM(H8:H13)</f>
        <v>842000000</v>
      </c>
      <c r="I14" s="14" t="n">
        <f aca="false">SUM(I8:I13)</f>
        <v>888000000</v>
      </c>
      <c r="J14" s="14" t="n">
        <f aca="false">SUM(J8:J13)</f>
        <v>936000000</v>
      </c>
    </row>
    <row r="16" customFormat="false" ht="15" hidden="false" customHeight="false" outlineLevel="0" collapsed="false">
      <c r="A16" s="13" t="s">
        <v>63</v>
      </c>
    </row>
    <row r="17" customFormat="false" ht="15" hidden="false" customHeight="false" outlineLevel="0" collapsed="false">
      <c r="A17" s="0" t="s">
        <v>64</v>
      </c>
      <c r="B17" s="12" t="n">
        <v>165000000</v>
      </c>
      <c r="C17" s="12" t="n">
        <v>172000000</v>
      </c>
      <c r="D17" s="12" t="n">
        <v>180000000</v>
      </c>
      <c r="E17" s="12" t="n">
        <v>188000000</v>
      </c>
      <c r="F17" s="12" t="n">
        <v>197000000</v>
      </c>
      <c r="G17" s="12" t="n">
        <v>206000000</v>
      </c>
      <c r="H17" s="12" t="n">
        <v>216000000</v>
      </c>
      <c r="I17" s="12" t="n">
        <v>227000000</v>
      </c>
      <c r="J17" s="12" t="n">
        <v>238000000</v>
      </c>
    </row>
    <row r="18" customFormat="false" ht="15" hidden="false" customHeight="false" outlineLevel="0" collapsed="false">
      <c r="A18" s="0" t="s">
        <v>65</v>
      </c>
      <c r="B18" s="12" t="n">
        <v>75000000</v>
      </c>
      <c r="C18" s="12" t="n">
        <v>75000000</v>
      </c>
      <c r="D18" s="12" t="n">
        <v>75000000</v>
      </c>
      <c r="E18" s="12" t="n">
        <v>75000000</v>
      </c>
      <c r="F18" s="12" t="n">
        <v>75000000</v>
      </c>
      <c r="G18" s="12" t="n">
        <v>75000000</v>
      </c>
      <c r="H18" s="12" t="n">
        <v>80000000</v>
      </c>
      <c r="I18" s="12" t="n">
        <v>80000000</v>
      </c>
      <c r="J18" s="12" t="n">
        <v>80000000</v>
      </c>
    </row>
    <row r="19" customFormat="false" ht="15" hidden="false" customHeight="false" outlineLevel="0" collapsed="false">
      <c r="A19" s="0" t="s">
        <v>66</v>
      </c>
      <c r="B19" s="12" t="n">
        <v>145000000</v>
      </c>
      <c r="C19" s="12" t="n">
        <v>145000000</v>
      </c>
      <c r="D19" s="12" t="n">
        <v>145000000</v>
      </c>
      <c r="E19" s="12" t="n">
        <v>150000000</v>
      </c>
      <c r="F19" s="12" t="n">
        <v>150000000</v>
      </c>
      <c r="G19" s="12" t="n">
        <v>150000000</v>
      </c>
      <c r="H19" s="12" t="n">
        <v>155000000</v>
      </c>
      <c r="I19" s="12" t="n">
        <v>155000000</v>
      </c>
      <c r="J19" s="12" t="n">
        <v>155000000</v>
      </c>
    </row>
    <row r="20" customFormat="false" ht="15" hidden="false" customHeight="false" outlineLevel="0" collapsed="false">
      <c r="A20" s="0" t="s">
        <v>67</v>
      </c>
      <c r="B20" s="12" t="n">
        <v>18000000</v>
      </c>
      <c r="C20" s="12" t="n">
        <v>19000000</v>
      </c>
      <c r="D20" s="12" t="n">
        <v>20000000</v>
      </c>
      <c r="E20" s="12" t="n">
        <v>20000000</v>
      </c>
      <c r="F20" s="12" t="n">
        <v>21000000</v>
      </c>
      <c r="G20" s="12" t="n">
        <v>22000000</v>
      </c>
      <c r="H20" s="12" t="n">
        <v>22000000</v>
      </c>
      <c r="I20" s="12" t="n">
        <v>23000000</v>
      </c>
      <c r="J20" s="12" t="n">
        <v>24000000</v>
      </c>
    </row>
    <row r="21" customFormat="false" ht="15" hidden="false" customHeight="false" outlineLevel="0" collapsed="false">
      <c r="A21" s="0" t="s">
        <v>68</v>
      </c>
      <c r="B21" s="12" t="n">
        <v>25000000</v>
      </c>
      <c r="C21" s="12" t="n">
        <v>28000000</v>
      </c>
      <c r="D21" s="12" t="n">
        <v>30000000</v>
      </c>
      <c r="E21" s="12" t="n">
        <v>32000000</v>
      </c>
      <c r="F21" s="12" t="n">
        <v>35000000</v>
      </c>
      <c r="G21" s="12" t="n">
        <v>38000000</v>
      </c>
      <c r="H21" s="12" t="n">
        <v>40000000</v>
      </c>
      <c r="I21" s="12" t="n">
        <v>43000000</v>
      </c>
      <c r="J21" s="12" t="n">
        <v>46000000</v>
      </c>
    </row>
    <row r="22" customFormat="false" ht="15" hidden="false" customHeight="false" outlineLevel="0" collapsed="false">
      <c r="A22" s="0" t="s">
        <v>69</v>
      </c>
      <c r="B22" s="12" t="n">
        <v>15000000</v>
      </c>
      <c r="C22" s="12" t="n">
        <v>16000000</v>
      </c>
      <c r="D22" s="12" t="n">
        <v>17000000</v>
      </c>
      <c r="E22" s="12" t="n">
        <v>18000000</v>
      </c>
      <c r="F22" s="12" t="n">
        <v>19000000</v>
      </c>
      <c r="G22" s="12" t="n">
        <v>20000000</v>
      </c>
      <c r="H22" s="12" t="n">
        <v>22000000</v>
      </c>
      <c r="I22" s="12" t="n">
        <v>24000000</v>
      </c>
      <c r="J22" s="12" t="n">
        <v>26000000</v>
      </c>
    </row>
    <row r="23" customFormat="false" ht="15" hidden="false" customHeight="false" outlineLevel="0" collapsed="false">
      <c r="A23" s="0" t="s">
        <v>70</v>
      </c>
      <c r="B23" s="12" t="n">
        <v>12000000</v>
      </c>
      <c r="C23" s="12" t="n">
        <v>12000000</v>
      </c>
      <c r="D23" s="12" t="n">
        <v>13000000</v>
      </c>
      <c r="E23" s="12" t="n">
        <v>13000000</v>
      </c>
      <c r="F23" s="12" t="n">
        <v>14000000</v>
      </c>
      <c r="G23" s="12" t="n">
        <v>14000000</v>
      </c>
      <c r="H23" s="12" t="n">
        <v>15000000</v>
      </c>
      <c r="I23" s="12" t="n">
        <v>15000000</v>
      </c>
      <c r="J23" s="12" t="n">
        <v>16000000</v>
      </c>
    </row>
    <row r="24" customFormat="false" ht="15" hidden="false" customHeight="false" outlineLevel="0" collapsed="false">
      <c r="A24" s="0" t="s">
        <v>71</v>
      </c>
      <c r="B24" s="12" t="n">
        <v>20000000</v>
      </c>
      <c r="C24" s="12" t="n">
        <v>20000000</v>
      </c>
      <c r="D24" s="12" t="n">
        <v>20000000</v>
      </c>
      <c r="E24" s="12" t="n">
        <v>22000000</v>
      </c>
      <c r="F24" s="12" t="n">
        <v>22000000</v>
      </c>
      <c r="G24" s="12" t="n">
        <v>22000000</v>
      </c>
      <c r="H24" s="12" t="n">
        <v>24000000</v>
      </c>
      <c r="I24" s="12" t="n">
        <v>24000000</v>
      </c>
      <c r="J24" s="12" t="n">
        <v>24000000</v>
      </c>
    </row>
    <row r="25" customFormat="false" ht="15" hidden="false" customHeight="false" outlineLevel="0" collapsed="false">
      <c r="A25" s="0" t="s">
        <v>72</v>
      </c>
      <c r="B25" s="12" t="n">
        <v>8000000</v>
      </c>
      <c r="C25" s="12" t="n">
        <v>8000000</v>
      </c>
      <c r="D25" s="12" t="n">
        <v>8000000</v>
      </c>
      <c r="E25" s="12" t="n">
        <v>8000000</v>
      </c>
      <c r="F25" s="12" t="n">
        <v>8000000</v>
      </c>
      <c r="G25" s="12" t="n">
        <v>8000000</v>
      </c>
      <c r="H25" s="12" t="n">
        <v>8000000</v>
      </c>
      <c r="I25" s="12" t="n">
        <v>8000000</v>
      </c>
      <c r="J25" s="12" t="n">
        <v>8000000</v>
      </c>
    </row>
    <row r="26" customFormat="false" ht="15" hidden="false" customHeight="false" outlineLevel="0" collapsed="false">
      <c r="A26" s="0" t="s">
        <v>73</v>
      </c>
      <c r="B26" s="12" t="n">
        <v>15000000</v>
      </c>
      <c r="C26" s="12" t="n">
        <v>16000000</v>
      </c>
      <c r="D26" s="12" t="n">
        <v>17000000</v>
      </c>
      <c r="E26" s="12" t="n">
        <v>18000000</v>
      </c>
      <c r="F26" s="12" t="n">
        <v>19000000</v>
      </c>
      <c r="G26" s="12" t="n">
        <v>20000000</v>
      </c>
      <c r="H26" s="12" t="n">
        <v>21000000</v>
      </c>
      <c r="I26" s="12" t="n">
        <v>22000000</v>
      </c>
      <c r="J26" s="12" t="n">
        <v>23000000</v>
      </c>
    </row>
    <row r="27" customFormat="false" ht="15" hidden="false" customHeight="false" outlineLevel="0" collapsed="false">
      <c r="A27" s="13" t="s">
        <v>74</v>
      </c>
      <c r="B27" s="14" t="n">
        <f aca="false">SUM(B17:B26)</f>
        <v>498000000</v>
      </c>
      <c r="C27" s="14" t="n">
        <f aca="false">SUM(C17:C26)</f>
        <v>511000000</v>
      </c>
      <c r="D27" s="14" t="n">
        <f aca="false">SUM(D17:D26)</f>
        <v>525000000</v>
      </c>
      <c r="E27" s="14" t="n">
        <f aca="false">SUM(E17:E26)</f>
        <v>544000000</v>
      </c>
      <c r="F27" s="14" t="n">
        <f aca="false">SUM(F17:F26)</f>
        <v>560000000</v>
      </c>
      <c r="G27" s="14" t="n">
        <f aca="false">SUM(G17:G26)</f>
        <v>575000000</v>
      </c>
      <c r="H27" s="14" t="n">
        <f aca="false">SUM(H17:H26)</f>
        <v>603000000</v>
      </c>
      <c r="I27" s="14" t="n">
        <f aca="false">SUM(I17:I26)</f>
        <v>621000000</v>
      </c>
      <c r="J27" s="14" t="n">
        <f aca="false">SUM(J17:J26)</f>
        <v>640000000</v>
      </c>
    </row>
    <row r="29" customFormat="false" ht="15" hidden="false" customHeight="false" outlineLevel="0" collapsed="false">
      <c r="A29" s="15" t="s">
        <v>13</v>
      </c>
      <c r="B29" s="16" t="n">
        <f aca="false">B16-B28</f>
        <v>0</v>
      </c>
      <c r="C29" s="16" t="n">
        <f aca="false">C16-C28</f>
        <v>0</v>
      </c>
      <c r="D29" s="16" t="n">
        <f aca="false">D16-D28</f>
        <v>0</v>
      </c>
      <c r="E29" s="16" t="n">
        <f aca="false">E16-E28</f>
        <v>0</v>
      </c>
      <c r="F29" s="16" t="n">
        <f aca="false">F16-F28</f>
        <v>0</v>
      </c>
      <c r="G29" s="16" t="n">
        <f aca="false">G16-G28</f>
        <v>0</v>
      </c>
      <c r="H29" s="16" t="n">
        <f aca="false">H16-H28</f>
        <v>0</v>
      </c>
      <c r="I29" s="16" t="n">
        <f aca="false">I16-I28</f>
        <v>0</v>
      </c>
      <c r="J29" s="16" t="n">
        <f aca="false">J16-J28</f>
        <v>0</v>
      </c>
    </row>
    <row r="31" customFormat="false" ht="15" hidden="false" customHeight="false" outlineLevel="0" collapsed="false">
      <c r="A31" s="17" t="s">
        <v>75</v>
      </c>
      <c r="B31" s="18" t="n">
        <f aca="false">B5+B29</f>
        <v>300000000</v>
      </c>
      <c r="C31" s="18" t="n">
        <f aca="false">C5+C29</f>
        <v>325000000</v>
      </c>
      <c r="D31" s="18" t="n">
        <f aca="false">D5+D29</f>
        <v>365000000</v>
      </c>
      <c r="E31" s="18" t="n">
        <f aca="false">E5+E29</f>
        <v>425000000</v>
      </c>
      <c r="F31" s="18" t="n">
        <f aca="false">F5+F29</f>
        <v>490000000</v>
      </c>
      <c r="G31" s="18" t="n">
        <f aca="false">G5+G29</f>
        <v>570000000</v>
      </c>
      <c r="H31" s="18" t="n">
        <f aca="false">H5+H29</f>
        <v>665000000</v>
      </c>
      <c r="I31" s="18" t="n">
        <f aca="false">I5+I29</f>
        <v>775000000</v>
      </c>
      <c r="J31" s="18" t="n">
        <f aca="false">J5+J29</f>
        <v>900000000</v>
      </c>
    </row>
    <row r="32" customFormat="false" ht="15" hidden="false" customHeight="false" outlineLevel="0" collapsed="false">
      <c r="A32" s="11" t="s">
        <v>76</v>
      </c>
      <c r="B32" s="5" t="n">
        <f aca="false">B29</f>
        <v>0</v>
      </c>
      <c r="C32" s="5" t="n">
        <f aca="false">B32+C29</f>
        <v>0</v>
      </c>
      <c r="D32" s="5" t="n">
        <f aca="false">C32+D29</f>
        <v>0</v>
      </c>
      <c r="E32" s="5" t="n">
        <f aca="false">D32+E29</f>
        <v>0</v>
      </c>
      <c r="F32" s="5" t="n">
        <f aca="false">E32+F29</f>
        <v>0</v>
      </c>
      <c r="G32" s="5" t="n">
        <f aca="false">F32+G29</f>
        <v>0</v>
      </c>
      <c r="H32" s="5" t="n">
        <f aca="false">G32+H29</f>
        <v>0</v>
      </c>
      <c r="I32" s="5" t="n">
        <f aca="false">H32+I29</f>
        <v>0</v>
      </c>
      <c r="J32" s="5" t="n">
        <f aca="false">I32+J29</f>
        <v>0</v>
      </c>
    </row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10" min="2" style="0" width="14"/>
  </cols>
  <sheetData>
    <row r="1" customFormat="false" ht="17.35" hidden="false" customHeight="false" outlineLevel="0" collapsed="false">
      <c r="A1" s="7" t="s">
        <v>77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customFormat="false" ht="15" hidden="false" customHeight="false" outlineLevel="0" collapsed="false">
      <c r="A2" s="8" t="s">
        <v>78</v>
      </c>
      <c r="B2" s="8"/>
      <c r="C2" s="8"/>
      <c r="D2" s="8"/>
      <c r="E2" s="8"/>
      <c r="F2" s="8"/>
      <c r="G2" s="8"/>
      <c r="H2" s="8"/>
      <c r="I2" s="8"/>
      <c r="J2" s="8"/>
      <c r="K2" s="8"/>
    </row>
    <row r="4" customFormat="false" ht="15" hidden="false" customHeight="false" outlineLevel="0" collapsed="false">
      <c r="A4" s="9" t="s">
        <v>44</v>
      </c>
      <c r="B4" s="10" t="s">
        <v>45</v>
      </c>
      <c r="C4" s="10" t="s">
        <v>46</v>
      </c>
      <c r="D4" s="10" t="s">
        <v>47</v>
      </c>
      <c r="E4" s="10" t="s">
        <v>48</v>
      </c>
      <c r="F4" s="10" t="s">
        <v>49</v>
      </c>
      <c r="G4" s="10" t="s">
        <v>50</v>
      </c>
      <c r="H4" s="10" t="s">
        <v>51</v>
      </c>
      <c r="I4" s="10" t="s">
        <v>52</v>
      </c>
      <c r="J4" s="10" t="s">
        <v>53</v>
      </c>
    </row>
    <row r="5" customFormat="false" ht="15" hidden="false" customHeight="false" outlineLevel="0" collapsed="false">
      <c r="A5" s="11" t="s">
        <v>54</v>
      </c>
      <c r="B5" s="12" t="n">
        <v>300000000</v>
      </c>
      <c r="C5" s="12" t="n">
        <v>355000000</v>
      </c>
      <c r="D5" s="12" t="n">
        <v>445000000</v>
      </c>
      <c r="E5" s="12" t="n">
        <v>575000000</v>
      </c>
      <c r="F5" s="12" t="n">
        <v>745000000</v>
      </c>
      <c r="G5" s="12" t="n">
        <v>965000000</v>
      </c>
      <c r="H5" s="12" t="n">
        <v>1245000000</v>
      </c>
      <c r="I5" s="12" t="n">
        <v>1595000000</v>
      </c>
      <c r="J5" s="12" t="n">
        <v>2025000000</v>
      </c>
    </row>
    <row r="7" customFormat="false" ht="15" hidden="false" customHeight="false" outlineLevel="0" collapsed="false">
      <c r="A7" s="13" t="s">
        <v>55</v>
      </c>
    </row>
    <row r="8" customFormat="false" ht="15" hidden="false" customHeight="false" outlineLevel="0" collapsed="false">
      <c r="A8" s="0" t="s">
        <v>56</v>
      </c>
      <c r="B8" s="12" t="n">
        <v>180000000</v>
      </c>
      <c r="C8" s="12" t="n">
        <v>200000000</v>
      </c>
      <c r="D8" s="12" t="n">
        <v>225000000</v>
      </c>
      <c r="E8" s="12" t="n">
        <v>252000000</v>
      </c>
      <c r="F8" s="12" t="n">
        <v>283000000</v>
      </c>
      <c r="G8" s="12" t="n">
        <v>317000000</v>
      </c>
      <c r="H8" s="12" t="n">
        <v>355000000</v>
      </c>
      <c r="I8" s="12" t="n">
        <v>398000000</v>
      </c>
      <c r="J8" s="12" t="n">
        <v>446000000</v>
      </c>
    </row>
    <row r="9" customFormat="false" ht="15" hidden="false" customHeight="false" outlineLevel="0" collapsed="false">
      <c r="A9" s="0" t="s">
        <v>57</v>
      </c>
      <c r="B9" s="12" t="n">
        <v>280000000</v>
      </c>
      <c r="C9" s="12" t="n">
        <v>310000000</v>
      </c>
      <c r="D9" s="12" t="n">
        <v>345000000</v>
      </c>
      <c r="E9" s="12" t="n">
        <v>384000000</v>
      </c>
      <c r="F9" s="12" t="n">
        <v>428000000</v>
      </c>
      <c r="G9" s="12" t="n">
        <v>477000000</v>
      </c>
      <c r="H9" s="12" t="n">
        <v>532000000</v>
      </c>
      <c r="I9" s="12" t="n">
        <v>593000000</v>
      </c>
      <c r="J9" s="12" t="n">
        <v>661000000</v>
      </c>
    </row>
    <row r="10" customFormat="false" ht="15" hidden="false" customHeight="false" outlineLevel="0" collapsed="false">
      <c r="A10" s="0" t="s">
        <v>58</v>
      </c>
      <c r="B10" s="12" t="n">
        <v>85000000</v>
      </c>
      <c r="C10" s="12" t="n">
        <v>95000000</v>
      </c>
      <c r="D10" s="12" t="n">
        <v>107000000</v>
      </c>
      <c r="E10" s="12" t="n">
        <v>120000000</v>
      </c>
      <c r="F10" s="12" t="n">
        <v>134000000</v>
      </c>
      <c r="G10" s="12" t="n">
        <v>150000000</v>
      </c>
      <c r="H10" s="12" t="n">
        <v>168000000</v>
      </c>
      <c r="I10" s="12" t="n">
        <v>188000000</v>
      </c>
      <c r="J10" s="12" t="n">
        <v>210000000</v>
      </c>
    </row>
    <row r="11" customFormat="false" ht="15" hidden="false" customHeight="false" outlineLevel="0" collapsed="false">
      <c r="A11" s="0" t="s">
        <v>59</v>
      </c>
      <c r="B11" s="12" t="n">
        <v>45000000</v>
      </c>
      <c r="C11" s="12" t="n">
        <v>54000000</v>
      </c>
      <c r="D11" s="12" t="n">
        <v>65000000</v>
      </c>
      <c r="E11" s="12" t="n">
        <v>78000000</v>
      </c>
      <c r="F11" s="12" t="n">
        <v>94000000</v>
      </c>
      <c r="G11" s="12" t="n">
        <v>113000000</v>
      </c>
      <c r="H11" s="12" t="n">
        <v>136000000</v>
      </c>
      <c r="I11" s="12" t="n">
        <v>163000000</v>
      </c>
      <c r="J11" s="12" t="n">
        <v>196000000</v>
      </c>
    </row>
    <row r="12" customFormat="false" ht="15" hidden="false" customHeight="false" outlineLevel="0" collapsed="false">
      <c r="A12" s="0" t="s">
        <v>60</v>
      </c>
      <c r="B12" s="12" t="n">
        <v>15000000</v>
      </c>
      <c r="C12" s="12" t="n">
        <v>20000000</v>
      </c>
      <c r="D12" s="12" t="n">
        <v>27000000</v>
      </c>
      <c r="E12" s="12" t="n">
        <v>36000000</v>
      </c>
      <c r="F12" s="12" t="n">
        <v>48000000</v>
      </c>
      <c r="G12" s="12" t="n">
        <v>64000000</v>
      </c>
      <c r="H12" s="12" t="n">
        <v>86000000</v>
      </c>
      <c r="I12" s="12" t="n">
        <v>115000000</v>
      </c>
      <c r="J12" s="12" t="n">
        <v>154000000</v>
      </c>
    </row>
    <row r="13" customFormat="false" ht="15" hidden="false" customHeight="false" outlineLevel="0" collapsed="false">
      <c r="A13" s="0" t="s">
        <v>61</v>
      </c>
      <c r="B13" s="12" t="n">
        <v>8000000</v>
      </c>
      <c r="C13" s="12" t="n">
        <v>10000000</v>
      </c>
      <c r="D13" s="12" t="n">
        <v>13000000</v>
      </c>
      <c r="E13" s="12" t="n">
        <v>17000000</v>
      </c>
      <c r="F13" s="12" t="n">
        <v>22000000</v>
      </c>
      <c r="G13" s="12" t="n">
        <v>29000000</v>
      </c>
      <c r="H13" s="12" t="n">
        <v>38000000</v>
      </c>
      <c r="I13" s="12" t="n">
        <v>49000000</v>
      </c>
      <c r="J13" s="12" t="n">
        <v>64000000</v>
      </c>
    </row>
    <row r="14" customFormat="false" ht="15" hidden="false" customHeight="false" outlineLevel="0" collapsed="false">
      <c r="A14" s="13" t="s">
        <v>62</v>
      </c>
      <c r="B14" s="14" t="n">
        <f aca="false">SUM(B8:B13)</f>
        <v>613000000</v>
      </c>
      <c r="C14" s="14" t="n">
        <f aca="false">SUM(C8:C13)</f>
        <v>689000000</v>
      </c>
      <c r="D14" s="14" t="n">
        <f aca="false">SUM(D8:D13)</f>
        <v>782000000</v>
      </c>
      <c r="E14" s="14" t="n">
        <f aca="false">SUM(E8:E13)</f>
        <v>887000000</v>
      </c>
      <c r="F14" s="14" t="n">
        <f aca="false">SUM(F8:F13)</f>
        <v>1009000000</v>
      </c>
      <c r="G14" s="14" t="n">
        <f aca="false">SUM(G8:G13)</f>
        <v>1150000000</v>
      </c>
      <c r="H14" s="14" t="n">
        <f aca="false">SUM(H8:H13)</f>
        <v>1315000000</v>
      </c>
      <c r="I14" s="14" t="n">
        <f aca="false">SUM(I8:I13)</f>
        <v>1506000000</v>
      </c>
      <c r="J14" s="14" t="n">
        <f aca="false">SUM(J8:J13)</f>
        <v>1731000000</v>
      </c>
    </row>
    <row r="16" customFormat="false" ht="15" hidden="false" customHeight="false" outlineLevel="0" collapsed="false">
      <c r="A16" s="13" t="s">
        <v>63</v>
      </c>
    </row>
    <row r="17" customFormat="false" ht="15" hidden="false" customHeight="false" outlineLevel="0" collapsed="false">
      <c r="A17" s="0" t="s">
        <v>64</v>
      </c>
      <c r="B17" s="12" t="n">
        <v>165000000</v>
      </c>
      <c r="C17" s="12" t="n">
        <v>180000000</v>
      </c>
      <c r="D17" s="12" t="n">
        <v>198000000</v>
      </c>
      <c r="E17" s="12" t="n">
        <v>218000000</v>
      </c>
      <c r="F17" s="12" t="n">
        <v>240000000</v>
      </c>
      <c r="G17" s="12" t="n">
        <v>264000000</v>
      </c>
      <c r="H17" s="12" t="n">
        <v>290000000</v>
      </c>
      <c r="I17" s="12" t="n">
        <v>319000000</v>
      </c>
      <c r="J17" s="12" t="n">
        <v>351000000</v>
      </c>
    </row>
    <row r="18" customFormat="false" ht="15" hidden="false" customHeight="false" outlineLevel="0" collapsed="false">
      <c r="A18" s="0" t="s">
        <v>65</v>
      </c>
      <c r="B18" s="12" t="n">
        <v>75000000</v>
      </c>
      <c r="C18" s="12" t="n">
        <v>75000000</v>
      </c>
      <c r="D18" s="12" t="n">
        <v>75000000</v>
      </c>
      <c r="E18" s="12" t="n">
        <v>80000000</v>
      </c>
      <c r="F18" s="12" t="n">
        <v>80000000</v>
      </c>
      <c r="G18" s="12" t="n">
        <v>80000000</v>
      </c>
      <c r="H18" s="12" t="n">
        <v>85000000</v>
      </c>
      <c r="I18" s="12" t="n">
        <v>85000000</v>
      </c>
      <c r="J18" s="12" t="n">
        <v>85000000</v>
      </c>
    </row>
    <row r="19" customFormat="false" ht="15" hidden="false" customHeight="false" outlineLevel="0" collapsed="false">
      <c r="A19" s="0" t="s">
        <v>66</v>
      </c>
      <c r="B19" s="12" t="n">
        <v>145000000</v>
      </c>
      <c r="C19" s="12" t="n">
        <v>150000000</v>
      </c>
      <c r="D19" s="12" t="n">
        <v>155000000</v>
      </c>
      <c r="E19" s="12" t="n">
        <v>165000000</v>
      </c>
      <c r="F19" s="12" t="n">
        <v>170000000</v>
      </c>
      <c r="G19" s="12" t="n">
        <v>180000000</v>
      </c>
      <c r="H19" s="12" t="n">
        <v>190000000</v>
      </c>
      <c r="I19" s="12" t="n">
        <v>200000000</v>
      </c>
      <c r="J19" s="12" t="n">
        <v>210000000</v>
      </c>
    </row>
    <row r="20" customFormat="false" ht="15" hidden="false" customHeight="false" outlineLevel="0" collapsed="false">
      <c r="A20" s="0" t="s">
        <v>67</v>
      </c>
      <c r="B20" s="12" t="n">
        <v>18000000</v>
      </c>
      <c r="C20" s="12" t="n">
        <v>20000000</v>
      </c>
      <c r="D20" s="12" t="n">
        <v>22000000</v>
      </c>
      <c r="E20" s="12" t="n">
        <v>24000000</v>
      </c>
      <c r="F20" s="12" t="n">
        <v>26000000</v>
      </c>
      <c r="G20" s="12" t="n">
        <v>28000000</v>
      </c>
      <c r="H20" s="12" t="n">
        <v>31000000</v>
      </c>
      <c r="I20" s="12" t="n">
        <v>34000000</v>
      </c>
      <c r="J20" s="12" t="n">
        <v>37000000</v>
      </c>
    </row>
    <row r="21" customFormat="false" ht="15" hidden="false" customHeight="false" outlineLevel="0" collapsed="false">
      <c r="A21" s="0" t="s">
        <v>68</v>
      </c>
      <c r="B21" s="12" t="n">
        <v>25000000</v>
      </c>
      <c r="C21" s="12" t="n">
        <v>32000000</v>
      </c>
      <c r="D21" s="12" t="n">
        <v>40000000</v>
      </c>
      <c r="E21" s="12" t="n">
        <v>50000000</v>
      </c>
      <c r="F21" s="12" t="n">
        <v>62000000</v>
      </c>
      <c r="G21" s="12" t="n">
        <v>77000000</v>
      </c>
      <c r="H21" s="12" t="n">
        <v>96000000</v>
      </c>
      <c r="I21" s="12" t="n">
        <v>120000000</v>
      </c>
      <c r="J21" s="12" t="n">
        <v>150000000</v>
      </c>
    </row>
    <row r="22" customFormat="false" ht="15" hidden="false" customHeight="false" outlineLevel="0" collapsed="false">
      <c r="A22" s="0" t="s">
        <v>69</v>
      </c>
      <c r="B22" s="12" t="n">
        <v>15000000</v>
      </c>
      <c r="C22" s="12" t="n">
        <v>18000000</v>
      </c>
      <c r="D22" s="12" t="n">
        <v>22000000</v>
      </c>
      <c r="E22" s="12" t="n">
        <v>26000000</v>
      </c>
      <c r="F22" s="12" t="n">
        <v>31000000</v>
      </c>
      <c r="G22" s="12" t="n">
        <v>37000000</v>
      </c>
      <c r="H22" s="12" t="n">
        <v>45000000</v>
      </c>
      <c r="I22" s="12" t="n">
        <v>54000000</v>
      </c>
      <c r="J22" s="12" t="n">
        <v>65000000</v>
      </c>
    </row>
    <row r="23" customFormat="false" ht="15" hidden="false" customHeight="false" outlineLevel="0" collapsed="false">
      <c r="A23" s="0" t="s">
        <v>70</v>
      </c>
      <c r="B23" s="12" t="n">
        <v>12000000</v>
      </c>
      <c r="C23" s="12" t="n">
        <v>13000000</v>
      </c>
      <c r="D23" s="12" t="n">
        <v>14000000</v>
      </c>
      <c r="E23" s="12" t="n">
        <v>15000000</v>
      </c>
      <c r="F23" s="12" t="n">
        <v>17000000</v>
      </c>
      <c r="G23" s="12" t="n">
        <v>19000000</v>
      </c>
      <c r="H23" s="12" t="n">
        <v>21000000</v>
      </c>
      <c r="I23" s="12" t="n">
        <v>23000000</v>
      </c>
      <c r="J23" s="12" t="n">
        <v>25000000</v>
      </c>
    </row>
    <row r="24" customFormat="false" ht="15" hidden="false" customHeight="false" outlineLevel="0" collapsed="false">
      <c r="A24" s="0" t="s">
        <v>71</v>
      </c>
      <c r="B24" s="12" t="n">
        <v>20000000</v>
      </c>
      <c r="C24" s="12" t="n">
        <v>22000000</v>
      </c>
      <c r="D24" s="12" t="n">
        <v>24000000</v>
      </c>
      <c r="E24" s="12" t="n">
        <v>26000000</v>
      </c>
      <c r="F24" s="12" t="n">
        <v>29000000</v>
      </c>
      <c r="G24" s="12" t="n">
        <v>32000000</v>
      </c>
      <c r="H24" s="12" t="n">
        <v>35000000</v>
      </c>
      <c r="I24" s="12" t="n">
        <v>39000000</v>
      </c>
      <c r="J24" s="12" t="n">
        <v>43000000</v>
      </c>
    </row>
    <row r="25" customFormat="false" ht="15" hidden="false" customHeight="false" outlineLevel="0" collapsed="false">
      <c r="A25" s="0" t="s">
        <v>72</v>
      </c>
      <c r="B25" s="12" t="n">
        <v>8000000</v>
      </c>
      <c r="C25" s="12" t="n">
        <v>8000000</v>
      </c>
      <c r="D25" s="12" t="n">
        <v>8000000</v>
      </c>
      <c r="E25" s="12" t="n">
        <v>8000000</v>
      </c>
      <c r="F25" s="12" t="n">
        <v>8000000</v>
      </c>
      <c r="G25" s="12" t="n">
        <v>8000000</v>
      </c>
      <c r="H25" s="12" t="n">
        <v>8000000</v>
      </c>
      <c r="I25" s="12" t="n">
        <v>8000000</v>
      </c>
      <c r="J25" s="12" t="n">
        <v>8000000</v>
      </c>
    </row>
    <row r="26" customFormat="false" ht="15" hidden="false" customHeight="false" outlineLevel="0" collapsed="false">
      <c r="A26" s="0" t="s">
        <v>73</v>
      </c>
      <c r="B26" s="12" t="n">
        <v>15000000</v>
      </c>
      <c r="C26" s="12" t="n">
        <v>17000000</v>
      </c>
      <c r="D26" s="12" t="n">
        <v>19000000</v>
      </c>
      <c r="E26" s="12" t="n">
        <v>21000000</v>
      </c>
      <c r="F26" s="12" t="n">
        <v>23000000</v>
      </c>
      <c r="G26" s="12" t="n">
        <v>25000000</v>
      </c>
      <c r="H26" s="12" t="n">
        <v>28000000</v>
      </c>
      <c r="I26" s="12" t="n">
        <v>31000000</v>
      </c>
      <c r="J26" s="12" t="n">
        <v>34000000</v>
      </c>
    </row>
    <row r="27" customFormat="false" ht="15" hidden="false" customHeight="false" outlineLevel="0" collapsed="false">
      <c r="A27" s="13" t="s">
        <v>74</v>
      </c>
      <c r="B27" s="14" t="n">
        <f aca="false">SUM(B17:B26)</f>
        <v>498000000</v>
      </c>
      <c r="C27" s="14" t="n">
        <f aca="false">SUM(C17:C26)</f>
        <v>535000000</v>
      </c>
      <c r="D27" s="14" t="n">
        <f aca="false">SUM(D17:D26)</f>
        <v>577000000</v>
      </c>
      <c r="E27" s="14" t="n">
        <f aca="false">SUM(E17:E26)</f>
        <v>633000000</v>
      </c>
      <c r="F27" s="14" t="n">
        <f aca="false">SUM(F17:F26)</f>
        <v>686000000</v>
      </c>
      <c r="G27" s="14" t="n">
        <f aca="false">SUM(G17:G26)</f>
        <v>750000000</v>
      </c>
      <c r="H27" s="14" t="n">
        <f aca="false">SUM(H17:H26)</f>
        <v>829000000</v>
      </c>
      <c r="I27" s="14" t="n">
        <f aca="false">SUM(I17:I26)</f>
        <v>913000000</v>
      </c>
      <c r="J27" s="14" t="n">
        <f aca="false">SUM(J17:J26)</f>
        <v>1008000000</v>
      </c>
    </row>
    <row r="29" customFormat="false" ht="15" hidden="false" customHeight="false" outlineLevel="0" collapsed="false">
      <c r="A29" s="15" t="s">
        <v>13</v>
      </c>
      <c r="B29" s="16" t="n">
        <f aca="false">B16-B28</f>
        <v>0</v>
      </c>
      <c r="C29" s="16" t="n">
        <f aca="false">C16-C28</f>
        <v>0</v>
      </c>
      <c r="D29" s="16" t="n">
        <f aca="false">D16-D28</f>
        <v>0</v>
      </c>
      <c r="E29" s="16" t="n">
        <f aca="false">E16-E28</f>
        <v>0</v>
      </c>
      <c r="F29" s="16" t="n">
        <f aca="false">F16-F28</f>
        <v>0</v>
      </c>
      <c r="G29" s="16" t="n">
        <f aca="false">G16-G28</f>
        <v>0</v>
      </c>
      <c r="H29" s="16" t="n">
        <f aca="false">H16-H28</f>
        <v>0</v>
      </c>
      <c r="I29" s="16" t="n">
        <f aca="false">I16-I28</f>
        <v>0</v>
      </c>
      <c r="J29" s="16" t="n">
        <f aca="false">J16-J28</f>
        <v>0</v>
      </c>
    </row>
    <row r="31" customFormat="false" ht="15" hidden="false" customHeight="false" outlineLevel="0" collapsed="false">
      <c r="A31" s="17" t="s">
        <v>75</v>
      </c>
      <c r="B31" s="18" t="n">
        <f aca="false">B5+B29</f>
        <v>300000000</v>
      </c>
      <c r="C31" s="18" t="n">
        <f aca="false">C5+C29</f>
        <v>355000000</v>
      </c>
      <c r="D31" s="18" t="n">
        <f aca="false">D5+D29</f>
        <v>445000000</v>
      </c>
      <c r="E31" s="18" t="n">
        <f aca="false">E5+E29</f>
        <v>575000000</v>
      </c>
      <c r="F31" s="18" t="n">
        <f aca="false">F5+F29</f>
        <v>745000000</v>
      </c>
      <c r="G31" s="18" t="n">
        <f aca="false">G5+G29</f>
        <v>965000000</v>
      </c>
      <c r="H31" s="18" t="n">
        <f aca="false">H5+H29</f>
        <v>1245000000</v>
      </c>
      <c r="I31" s="18" t="n">
        <f aca="false">I5+I29</f>
        <v>1595000000</v>
      </c>
      <c r="J31" s="18" t="n">
        <f aca="false">J5+J29</f>
        <v>2025000000</v>
      </c>
    </row>
    <row r="32" customFormat="false" ht="15" hidden="false" customHeight="false" outlineLevel="0" collapsed="false">
      <c r="A32" s="11" t="s">
        <v>76</v>
      </c>
      <c r="B32" s="5" t="n">
        <f aca="false">B29</f>
        <v>0</v>
      </c>
      <c r="C32" s="5" t="n">
        <f aca="false">B32+C29</f>
        <v>0</v>
      </c>
      <c r="D32" s="5" t="n">
        <f aca="false">C32+D29</f>
        <v>0</v>
      </c>
      <c r="E32" s="5" t="n">
        <f aca="false">D32+E29</f>
        <v>0</v>
      </c>
      <c r="F32" s="5" t="n">
        <f aca="false">E32+F29</f>
        <v>0</v>
      </c>
      <c r="G32" s="5" t="n">
        <f aca="false">F32+G29</f>
        <v>0</v>
      </c>
      <c r="H32" s="5" t="n">
        <f aca="false">G32+H29</f>
        <v>0</v>
      </c>
      <c r="I32" s="5" t="n">
        <f aca="false">H32+I29</f>
        <v>0</v>
      </c>
      <c r="J32" s="5" t="n">
        <f aca="false">I32+J29</f>
        <v>0</v>
      </c>
    </row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10" min="2" style="0" width="14"/>
  </cols>
  <sheetData>
    <row r="1" customFormat="false" ht="17.35" hidden="false" customHeight="false" outlineLevel="0" collapsed="false">
      <c r="A1" s="7" t="s">
        <v>79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customFormat="false" ht="15" hidden="false" customHeight="false" outlineLevel="0" collapsed="false">
      <c r="A2" s="8" t="s">
        <v>80</v>
      </c>
      <c r="B2" s="8"/>
      <c r="C2" s="8"/>
      <c r="D2" s="8"/>
      <c r="E2" s="8"/>
      <c r="F2" s="8"/>
      <c r="G2" s="8"/>
      <c r="H2" s="8"/>
      <c r="I2" s="8"/>
      <c r="J2" s="8"/>
      <c r="K2" s="8"/>
    </row>
    <row r="4" customFormat="false" ht="15" hidden="false" customHeight="false" outlineLevel="0" collapsed="false">
      <c r="A4" s="9" t="s">
        <v>44</v>
      </c>
      <c r="B4" s="10" t="s">
        <v>45</v>
      </c>
      <c r="C4" s="10" t="s">
        <v>46</v>
      </c>
      <c r="D4" s="10" t="s">
        <v>47</v>
      </c>
      <c r="E4" s="10" t="s">
        <v>48</v>
      </c>
      <c r="F4" s="10" t="s">
        <v>49</v>
      </c>
      <c r="G4" s="10" t="s">
        <v>50</v>
      </c>
      <c r="H4" s="10" t="s">
        <v>51</v>
      </c>
      <c r="I4" s="10" t="s">
        <v>52</v>
      </c>
      <c r="J4" s="10" t="s">
        <v>53</v>
      </c>
    </row>
    <row r="5" customFormat="false" ht="15" hidden="false" customHeight="false" outlineLevel="0" collapsed="false">
      <c r="A5" s="11" t="s">
        <v>54</v>
      </c>
      <c r="B5" s="12" t="n">
        <v>300000000</v>
      </c>
      <c r="C5" s="12" t="n">
        <v>310000000</v>
      </c>
      <c r="D5" s="12" t="n">
        <v>325000000</v>
      </c>
      <c r="E5" s="12" t="n">
        <v>340000000</v>
      </c>
      <c r="F5" s="12" t="n">
        <v>355000000</v>
      </c>
      <c r="G5" s="12" t="n">
        <v>375000000</v>
      </c>
      <c r="H5" s="12" t="n">
        <v>400000000</v>
      </c>
      <c r="I5" s="12" t="n">
        <v>430000000</v>
      </c>
      <c r="J5" s="12" t="n">
        <v>465000000</v>
      </c>
    </row>
    <row r="7" customFormat="false" ht="15" hidden="false" customHeight="false" outlineLevel="0" collapsed="false">
      <c r="A7" s="13" t="s">
        <v>55</v>
      </c>
    </row>
    <row r="8" customFormat="false" ht="15" hidden="false" customHeight="false" outlineLevel="0" collapsed="false">
      <c r="A8" s="0" t="s">
        <v>56</v>
      </c>
      <c r="B8" s="12" t="n">
        <v>180000000</v>
      </c>
      <c r="C8" s="12" t="n">
        <v>182000000</v>
      </c>
      <c r="D8" s="12" t="n">
        <v>185000000</v>
      </c>
      <c r="E8" s="12" t="n">
        <v>187000000</v>
      </c>
      <c r="F8" s="12" t="n">
        <v>190000000</v>
      </c>
      <c r="G8" s="12" t="n">
        <v>193000000</v>
      </c>
      <c r="H8" s="12" t="n">
        <v>196000000</v>
      </c>
      <c r="I8" s="12" t="n">
        <v>199000000</v>
      </c>
      <c r="J8" s="12" t="n">
        <v>202000000</v>
      </c>
    </row>
    <row r="9" customFormat="false" ht="15" hidden="false" customHeight="false" outlineLevel="0" collapsed="false">
      <c r="A9" s="0" t="s">
        <v>57</v>
      </c>
      <c r="B9" s="12" t="n">
        <v>280000000</v>
      </c>
      <c r="C9" s="12" t="n">
        <v>282000000</v>
      </c>
      <c r="D9" s="12" t="n">
        <v>286000000</v>
      </c>
      <c r="E9" s="12" t="n">
        <v>289000000</v>
      </c>
      <c r="F9" s="12" t="n">
        <v>293000000</v>
      </c>
      <c r="G9" s="12" t="n">
        <v>297000000</v>
      </c>
      <c r="H9" s="12" t="n">
        <v>301000000</v>
      </c>
      <c r="I9" s="12" t="n">
        <v>305000000</v>
      </c>
      <c r="J9" s="12" t="n">
        <v>309000000</v>
      </c>
    </row>
    <row r="10" customFormat="false" ht="15" hidden="false" customHeight="false" outlineLevel="0" collapsed="false">
      <c r="A10" s="0" t="s">
        <v>58</v>
      </c>
      <c r="B10" s="12" t="n">
        <v>85000000</v>
      </c>
      <c r="C10" s="12" t="n">
        <v>85000000</v>
      </c>
      <c r="D10" s="12" t="n">
        <v>86000000</v>
      </c>
      <c r="E10" s="12" t="n">
        <v>87000000</v>
      </c>
      <c r="F10" s="12" t="n">
        <v>88000000</v>
      </c>
      <c r="G10" s="12" t="n">
        <v>89000000</v>
      </c>
      <c r="H10" s="12" t="n">
        <v>90000000</v>
      </c>
      <c r="I10" s="12" t="n">
        <v>91000000</v>
      </c>
      <c r="J10" s="12" t="n">
        <v>92000000</v>
      </c>
    </row>
    <row r="11" customFormat="false" ht="15" hidden="false" customHeight="false" outlineLevel="0" collapsed="false">
      <c r="A11" s="0" t="s">
        <v>59</v>
      </c>
      <c r="B11" s="12" t="n">
        <v>45000000</v>
      </c>
      <c r="C11" s="12" t="n">
        <v>44000000</v>
      </c>
      <c r="D11" s="12" t="n">
        <v>45000000</v>
      </c>
      <c r="E11" s="12" t="n">
        <v>45000000</v>
      </c>
      <c r="F11" s="12" t="n">
        <v>46000000</v>
      </c>
      <c r="G11" s="12" t="n">
        <v>47000000</v>
      </c>
      <c r="H11" s="12" t="n">
        <v>48000000</v>
      </c>
      <c r="I11" s="12" t="n">
        <v>49000000</v>
      </c>
      <c r="J11" s="12" t="n">
        <v>50000000</v>
      </c>
    </row>
    <row r="12" customFormat="false" ht="15" hidden="false" customHeight="false" outlineLevel="0" collapsed="false">
      <c r="A12" s="0" t="s">
        <v>60</v>
      </c>
      <c r="B12" s="12" t="n">
        <v>15000000</v>
      </c>
      <c r="C12" s="12" t="n">
        <v>14000000</v>
      </c>
      <c r="D12" s="12" t="n">
        <v>14000000</v>
      </c>
      <c r="E12" s="12" t="n">
        <v>15000000</v>
      </c>
      <c r="F12" s="12" t="n">
        <v>15000000</v>
      </c>
      <c r="G12" s="12" t="n">
        <v>16000000</v>
      </c>
      <c r="H12" s="12" t="n">
        <v>16000000</v>
      </c>
      <c r="I12" s="12" t="n">
        <v>17000000</v>
      </c>
      <c r="J12" s="12" t="n">
        <v>17000000</v>
      </c>
    </row>
    <row r="13" customFormat="false" ht="15" hidden="false" customHeight="false" outlineLevel="0" collapsed="false">
      <c r="A13" s="0" t="s">
        <v>61</v>
      </c>
      <c r="B13" s="12" t="n">
        <v>8000000</v>
      </c>
      <c r="C13" s="12" t="n">
        <v>7000000</v>
      </c>
      <c r="D13" s="12" t="n">
        <v>7000000</v>
      </c>
      <c r="E13" s="12" t="n">
        <v>7000000</v>
      </c>
      <c r="F13" s="12" t="n">
        <v>8000000</v>
      </c>
      <c r="G13" s="12" t="n">
        <v>8000000</v>
      </c>
      <c r="H13" s="12" t="n">
        <v>8000000</v>
      </c>
      <c r="I13" s="12" t="n">
        <v>9000000</v>
      </c>
      <c r="J13" s="12" t="n">
        <v>9000000</v>
      </c>
    </row>
    <row r="14" customFormat="false" ht="15" hidden="false" customHeight="false" outlineLevel="0" collapsed="false">
      <c r="A14" s="13" t="s">
        <v>62</v>
      </c>
      <c r="B14" s="14" t="n">
        <f aca="false">SUM(B8:B13)</f>
        <v>613000000</v>
      </c>
      <c r="C14" s="14" t="n">
        <f aca="false">SUM(C8:C13)</f>
        <v>614000000</v>
      </c>
      <c r="D14" s="14" t="n">
        <f aca="false">SUM(D8:D13)</f>
        <v>623000000</v>
      </c>
      <c r="E14" s="14" t="n">
        <f aca="false">SUM(E8:E13)</f>
        <v>630000000</v>
      </c>
      <c r="F14" s="14" t="n">
        <f aca="false">SUM(F8:F13)</f>
        <v>640000000</v>
      </c>
      <c r="G14" s="14" t="n">
        <f aca="false">SUM(G8:G13)</f>
        <v>650000000</v>
      </c>
      <c r="H14" s="14" t="n">
        <f aca="false">SUM(H8:H13)</f>
        <v>659000000</v>
      </c>
      <c r="I14" s="14" t="n">
        <f aca="false">SUM(I8:I13)</f>
        <v>670000000</v>
      </c>
      <c r="J14" s="14" t="n">
        <f aca="false">SUM(J8:J13)</f>
        <v>679000000</v>
      </c>
    </row>
    <row r="16" customFormat="false" ht="15" hidden="false" customHeight="false" outlineLevel="0" collapsed="false">
      <c r="A16" s="13" t="s">
        <v>63</v>
      </c>
    </row>
    <row r="17" customFormat="false" ht="15" hidden="false" customHeight="false" outlineLevel="0" collapsed="false">
      <c r="A17" s="0" t="s">
        <v>64</v>
      </c>
      <c r="B17" s="12" t="n">
        <v>165000000</v>
      </c>
      <c r="C17" s="12" t="n">
        <v>168000000</v>
      </c>
      <c r="D17" s="12" t="n">
        <v>171000000</v>
      </c>
      <c r="E17" s="12" t="n">
        <v>174000000</v>
      </c>
      <c r="F17" s="12" t="n">
        <v>177000000</v>
      </c>
      <c r="G17" s="12" t="n">
        <v>180000000</v>
      </c>
      <c r="H17" s="12" t="n">
        <v>183000000</v>
      </c>
      <c r="I17" s="12" t="n">
        <v>186000000</v>
      </c>
      <c r="J17" s="12" t="n">
        <v>189000000</v>
      </c>
    </row>
    <row r="18" customFormat="false" ht="15" hidden="false" customHeight="false" outlineLevel="0" collapsed="false">
      <c r="A18" s="0" t="s">
        <v>65</v>
      </c>
      <c r="B18" s="12" t="n">
        <v>75000000</v>
      </c>
      <c r="C18" s="12" t="n">
        <v>75000000</v>
      </c>
      <c r="D18" s="12" t="n">
        <v>75000000</v>
      </c>
      <c r="E18" s="12" t="n">
        <v>75000000</v>
      </c>
      <c r="F18" s="12" t="n">
        <v>75000000</v>
      </c>
      <c r="G18" s="12" t="n">
        <v>80000000</v>
      </c>
      <c r="H18" s="12" t="n">
        <v>80000000</v>
      </c>
      <c r="I18" s="12" t="n">
        <v>80000000</v>
      </c>
      <c r="J18" s="12" t="n">
        <v>85000000</v>
      </c>
    </row>
    <row r="19" customFormat="false" ht="15" hidden="false" customHeight="false" outlineLevel="0" collapsed="false">
      <c r="A19" s="0" t="s">
        <v>66</v>
      </c>
      <c r="B19" s="12" t="n">
        <v>145000000</v>
      </c>
      <c r="C19" s="12" t="n">
        <v>145000000</v>
      </c>
      <c r="D19" s="12" t="n">
        <v>145000000</v>
      </c>
      <c r="E19" s="12" t="n">
        <v>150000000</v>
      </c>
      <c r="F19" s="12" t="n">
        <v>150000000</v>
      </c>
      <c r="G19" s="12" t="n">
        <v>150000000</v>
      </c>
      <c r="H19" s="12" t="n">
        <v>155000000</v>
      </c>
      <c r="I19" s="12" t="n">
        <v>155000000</v>
      </c>
      <c r="J19" s="12" t="n">
        <v>155000000</v>
      </c>
    </row>
    <row r="20" customFormat="false" ht="15" hidden="false" customHeight="false" outlineLevel="0" collapsed="false">
      <c r="A20" s="0" t="s">
        <v>67</v>
      </c>
      <c r="B20" s="12" t="n">
        <v>18000000</v>
      </c>
      <c r="C20" s="12" t="n">
        <v>19000000</v>
      </c>
      <c r="D20" s="12" t="n">
        <v>19000000</v>
      </c>
      <c r="E20" s="12" t="n">
        <v>20000000</v>
      </c>
      <c r="F20" s="12" t="n">
        <v>21000000</v>
      </c>
      <c r="G20" s="12" t="n">
        <v>21000000</v>
      </c>
      <c r="H20" s="12" t="n">
        <v>22000000</v>
      </c>
      <c r="I20" s="12" t="n">
        <v>23000000</v>
      </c>
      <c r="J20" s="12" t="n">
        <v>23000000</v>
      </c>
    </row>
    <row r="21" customFormat="false" ht="15" hidden="false" customHeight="false" outlineLevel="0" collapsed="false">
      <c r="A21" s="0" t="s">
        <v>68</v>
      </c>
      <c r="B21" s="12" t="n">
        <v>25000000</v>
      </c>
      <c r="C21" s="12" t="n">
        <v>22000000</v>
      </c>
      <c r="D21" s="12" t="n">
        <v>20000000</v>
      </c>
      <c r="E21" s="12" t="n">
        <v>18000000</v>
      </c>
      <c r="F21" s="12" t="n">
        <v>17000000</v>
      </c>
      <c r="G21" s="12" t="n">
        <v>16000000</v>
      </c>
      <c r="H21" s="12" t="n">
        <v>15000000</v>
      </c>
      <c r="I21" s="12" t="n">
        <v>15000000</v>
      </c>
      <c r="J21" s="12" t="n">
        <v>14000000</v>
      </c>
    </row>
    <row r="22" customFormat="false" ht="15" hidden="false" customHeight="false" outlineLevel="0" collapsed="false">
      <c r="A22" s="0" t="s">
        <v>69</v>
      </c>
      <c r="B22" s="12" t="n">
        <v>15000000</v>
      </c>
      <c r="C22" s="12" t="n">
        <v>15000000</v>
      </c>
      <c r="D22" s="12" t="n">
        <v>15000000</v>
      </c>
      <c r="E22" s="12" t="n">
        <v>15000000</v>
      </c>
      <c r="F22" s="12" t="n">
        <v>15000000</v>
      </c>
      <c r="G22" s="12" t="n">
        <v>16000000</v>
      </c>
      <c r="H22" s="12" t="n">
        <v>16000000</v>
      </c>
      <c r="I22" s="12" t="n">
        <v>16000000</v>
      </c>
      <c r="J22" s="12" t="n">
        <v>17000000</v>
      </c>
    </row>
    <row r="23" customFormat="false" ht="15" hidden="false" customHeight="false" outlineLevel="0" collapsed="false">
      <c r="A23" s="0" t="s">
        <v>70</v>
      </c>
      <c r="B23" s="12" t="n">
        <v>12000000</v>
      </c>
      <c r="C23" s="12" t="n">
        <v>12000000</v>
      </c>
      <c r="D23" s="12" t="n">
        <v>13000000</v>
      </c>
      <c r="E23" s="12" t="n">
        <v>13000000</v>
      </c>
      <c r="F23" s="12" t="n">
        <v>14000000</v>
      </c>
      <c r="G23" s="12" t="n">
        <v>14000000</v>
      </c>
      <c r="H23" s="12" t="n">
        <v>15000000</v>
      </c>
      <c r="I23" s="12" t="n">
        <v>15000000</v>
      </c>
      <c r="J23" s="12" t="n">
        <v>16000000</v>
      </c>
    </row>
    <row r="24" customFormat="false" ht="15" hidden="false" customHeight="false" outlineLevel="0" collapsed="false">
      <c r="A24" s="0" t="s">
        <v>71</v>
      </c>
      <c r="B24" s="12" t="n">
        <v>20000000</v>
      </c>
      <c r="C24" s="12" t="n">
        <v>20000000</v>
      </c>
      <c r="D24" s="12" t="n">
        <v>20000000</v>
      </c>
      <c r="E24" s="12" t="n">
        <v>22000000</v>
      </c>
      <c r="F24" s="12" t="n">
        <v>22000000</v>
      </c>
      <c r="G24" s="12" t="n">
        <v>22000000</v>
      </c>
      <c r="H24" s="12" t="n">
        <v>24000000</v>
      </c>
      <c r="I24" s="12" t="n">
        <v>24000000</v>
      </c>
      <c r="J24" s="12" t="n">
        <v>24000000</v>
      </c>
    </row>
    <row r="25" customFormat="false" ht="15" hidden="false" customHeight="false" outlineLevel="0" collapsed="false">
      <c r="A25" s="0" t="s">
        <v>72</v>
      </c>
      <c r="B25" s="12" t="n">
        <v>8000000</v>
      </c>
      <c r="C25" s="12" t="n">
        <v>8000000</v>
      </c>
      <c r="D25" s="12" t="n">
        <v>8000000</v>
      </c>
      <c r="E25" s="12" t="n">
        <v>8000000</v>
      </c>
      <c r="F25" s="12" t="n">
        <v>8000000</v>
      </c>
      <c r="G25" s="12" t="n">
        <v>8000000</v>
      </c>
      <c r="H25" s="12" t="n">
        <v>8000000</v>
      </c>
      <c r="I25" s="12" t="n">
        <v>8000000</v>
      </c>
      <c r="J25" s="12" t="n">
        <v>8000000</v>
      </c>
    </row>
    <row r="26" customFormat="false" ht="15" hidden="false" customHeight="false" outlineLevel="0" collapsed="false">
      <c r="A26" s="0" t="s">
        <v>73</v>
      </c>
      <c r="B26" s="12" t="n">
        <v>15000000</v>
      </c>
      <c r="C26" s="12" t="n">
        <v>16000000</v>
      </c>
      <c r="D26" s="12" t="n">
        <v>17000000</v>
      </c>
      <c r="E26" s="12" t="n">
        <v>18000000</v>
      </c>
      <c r="F26" s="12" t="n">
        <v>19000000</v>
      </c>
      <c r="G26" s="12" t="n">
        <v>20000000</v>
      </c>
      <c r="H26" s="12" t="n">
        <v>21000000</v>
      </c>
      <c r="I26" s="12" t="n">
        <v>22000000</v>
      </c>
      <c r="J26" s="12" t="n">
        <v>23000000</v>
      </c>
    </row>
    <row r="27" customFormat="false" ht="15" hidden="false" customHeight="false" outlineLevel="0" collapsed="false">
      <c r="A27" s="13" t="s">
        <v>74</v>
      </c>
      <c r="B27" s="14" t="n">
        <f aca="false">SUM(B17:B26)</f>
        <v>498000000</v>
      </c>
      <c r="C27" s="14" t="n">
        <f aca="false">SUM(C17:C26)</f>
        <v>500000000</v>
      </c>
      <c r="D27" s="14" t="n">
        <f aca="false">SUM(D17:D26)</f>
        <v>503000000</v>
      </c>
      <c r="E27" s="14" t="n">
        <f aca="false">SUM(E17:E26)</f>
        <v>513000000</v>
      </c>
      <c r="F27" s="14" t="n">
        <f aca="false">SUM(F17:F26)</f>
        <v>518000000</v>
      </c>
      <c r="G27" s="14" t="n">
        <f aca="false">SUM(G17:G26)</f>
        <v>527000000</v>
      </c>
      <c r="H27" s="14" t="n">
        <f aca="false">SUM(H17:H26)</f>
        <v>539000000</v>
      </c>
      <c r="I27" s="14" t="n">
        <f aca="false">SUM(I17:I26)</f>
        <v>544000000</v>
      </c>
      <c r="J27" s="14" t="n">
        <f aca="false">SUM(J17:J26)</f>
        <v>554000000</v>
      </c>
    </row>
    <row r="29" customFormat="false" ht="15" hidden="false" customHeight="false" outlineLevel="0" collapsed="false">
      <c r="A29" s="15" t="s">
        <v>13</v>
      </c>
      <c r="B29" s="16" t="n">
        <f aca="false">B16-B28</f>
        <v>0</v>
      </c>
      <c r="C29" s="16" t="n">
        <f aca="false">C16-C28</f>
        <v>0</v>
      </c>
      <c r="D29" s="16" t="n">
        <f aca="false">D16-D28</f>
        <v>0</v>
      </c>
      <c r="E29" s="16" t="n">
        <f aca="false">E16-E28</f>
        <v>0</v>
      </c>
      <c r="F29" s="16" t="n">
        <f aca="false">F16-F28</f>
        <v>0</v>
      </c>
      <c r="G29" s="16" t="n">
        <f aca="false">G16-G28</f>
        <v>0</v>
      </c>
      <c r="H29" s="16" t="n">
        <f aca="false">H16-H28</f>
        <v>0</v>
      </c>
      <c r="I29" s="16" t="n">
        <f aca="false">I16-I28</f>
        <v>0</v>
      </c>
      <c r="J29" s="16" t="n">
        <f aca="false">J16-J28</f>
        <v>0</v>
      </c>
    </row>
    <row r="31" customFormat="false" ht="15" hidden="false" customHeight="false" outlineLevel="0" collapsed="false">
      <c r="A31" s="17" t="s">
        <v>75</v>
      </c>
      <c r="B31" s="18" t="n">
        <f aca="false">B5+B29</f>
        <v>300000000</v>
      </c>
      <c r="C31" s="18" t="n">
        <f aca="false">C5+C29</f>
        <v>310000000</v>
      </c>
      <c r="D31" s="18" t="n">
        <f aca="false">D5+D29</f>
        <v>325000000</v>
      </c>
      <c r="E31" s="18" t="n">
        <f aca="false">E5+E29</f>
        <v>340000000</v>
      </c>
      <c r="F31" s="18" t="n">
        <f aca="false">F5+F29</f>
        <v>355000000</v>
      </c>
      <c r="G31" s="18" t="n">
        <f aca="false">G5+G29</f>
        <v>375000000</v>
      </c>
      <c r="H31" s="18" t="n">
        <f aca="false">H5+H29</f>
        <v>400000000</v>
      </c>
      <c r="I31" s="18" t="n">
        <f aca="false">I5+I29</f>
        <v>430000000</v>
      </c>
      <c r="J31" s="18" t="n">
        <f aca="false">J5+J29</f>
        <v>465000000</v>
      </c>
    </row>
    <row r="32" customFormat="false" ht="15" hidden="false" customHeight="false" outlineLevel="0" collapsed="false">
      <c r="A32" s="11" t="s">
        <v>76</v>
      </c>
      <c r="B32" s="5" t="n">
        <f aca="false">B29</f>
        <v>0</v>
      </c>
      <c r="C32" s="5" t="n">
        <f aca="false">B32+C29</f>
        <v>0</v>
      </c>
      <c r="D32" s="5" t="n">
        <f aca="false">C32+D29</f>
        <v>0</v>
      </c>
      <c r="E32" s="5" t="n">
        <f aca="false">D32+E29</f>
        <v>0</v>
      </c>
      <c r="F32" s="5" t="n">
        <f aca="false">E32+F29</f>
        <v>0</v>
      </c>
      <c r="G32" s="5" t="n">
        <f aca="false">F32+G29</f>
        <v>0</v>
      </c>
      <c r="H32" s="5" t="n">
        <f aca="false">G32+H29</f>
        <v>0</v>
      </c>
      <c r="I32" s="5" t="n">
        <f aca="false">H32+I29</f>
        <v>0</v>
      </c>
      <c r="J32" s="5" t="n">
        <f aca="false">I32+J29</f>
        <v>0</v>
      </c>
    </row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8"/>
    <col collapsed="false" customWidth="true" hidden="false" outlineLevel="0" max="4" min="3" style="0" width="20"/>
    <col collapsed="false" customWidth="true" hidden="false" outlineLevel="0" max="5" min="5" style="0" width="15"/>
  </cols>
  <sheetData>
    <row r="1" customFormat="false" ht="17.35" hidden="false" customHeight="false" outlineLevel="0" collapsed="false">
      <c r="A1" s="7" t="s">
        <v>31</v>
      </c>
      <c r="B1" s="7"/>
      <c r="C1" s="7"/>
      <c r="D1" s="7"/>
      <c r="E1" s="7"/>
    </row>
    <row r="3" customFormat="false" ht="15" hidden="false" customHeight="false" outlineLevel="0" collapsed="false">
      <c r="A3" s="3" t="s">
        <v>81</v>
      </c>
      <c r="B3" s="3"/>
    </row>
    <row r="4" customFormat="false" ht="15" hidden="false" customHeight="false" outlineLevel="0" collapsed="false">
      <c r="A4" s="0" t="s">
        <v>82</v>
      </c>
      <c r="B4" s="5" t="n">
        <v>100000</v>
      </c>
    </row>
    <row r="5" customFormat="false" ht="15" hidden="false" customHeight="false" outlineLevel="0" collapsed="false">
      <c r="A5" s="0" t="s">
        <v>83</v>
      </c>
      <c r="B5" s="5" t="n">
        <v>40000</v>
      </c>
    </row>
    <row r="6" customFormat="false" ht="15" hidden="false" customHeight="false" outlineLevel="0" collapsed="false">
      <c r="A6" s="0" t="s">
        <v>84</v>
      </c>
      <c r="B6" s="5" t="n">
        <f aca="false">B4-B5</f>
        <v>60000</v>
      </c>
    </row>
    <row r="7" customFormat="false" ht="15" hidden="false" customHeight="false" outlineLevel="0" collapsed="false">
      <c r="A7" s="0" t="s">
        <v>85</v>
      </c>
      <c r="B7" s="5" t="n">
        <v>350000000</v>
      </c>
    </row>
    <row r="8" customFormat="false" ht="15" hidden="false" customHeight="false" outlineLevel="0" collapsed="false">
      <c r="A8" s="19"/>
      <c r="B8" s="19"/>
    </row>
    <row r="9" customFormat="false" ht="15" hidden="false" customHeight="false" outlineLevel="0" collapsed="false">
      <c r="A9" s="19" t="s">
        <v>86</v>
      </c>
      <c r="B9" s="19"/>
    </row>
    <row r="10" customFormat="false" ht="15" hidden="false" customHeight="false" outlineLevel="0" collapsed="false">
      <c r="A10" s="0" t="s">
        <v>87</v>
      </c>
      <c r="B10" s="20" t="n">
        <f aca="false">B7/B6</f>
        <v>5833.33333333333</v>
      </c>
    </row>
    <row r="11" customFormat="false" ht="15" hidden="false" customHeight="false" outlineLevel="0" collapsed="false">
      <c r="A11" s="0" t="s">
        <v>88</v>
      </c>
      <c r="B11" s="21" t="n">
        <f aca="false">B10*B4</f>
        <v>583333333.333333</v>
      </c>
    </row>
    <row r="12" customFormat="false" ht="15" hidden="false" customHeight="false" outlineLevel="0" collapsed="false">
      <c r="A12" s="19"/>
      <c r="B12" s="19"/>
    </row>
    <row r="13" customFormat="false" ht="15" hidden="false" customHeight="false" outlineLevel="0" collapsed="false">
      <c r="A13" s="19" t="s">
        <v>89</v>
      </c>
      <c r="B13" s="19"/>
    </row>
    <row r="14" customFormat="false" ht="15" hidden="false" customHeight="false" outlineLevel="0" collapsed="false">
      <c r="A14" s="0" t="s">
        <v>90</v>
      </c>
      <c r="B14" s="5" t="n">
        <v>650000000</v>
      </c>
    </row>
    <row r="15" customFormat="false" ht="15" hidden="false" customHeight="false" outlineLevel="0" collapsed="false">
      <c r="A15" s="0" t="s">
        <v>91</v>
      </c>
      <c r="B15" s="22" t="n">
        <f aca="false">B14/B4</f>
        <v>6500</v>
      </c>
    </row>
    <row r="16" customFormat="false" ht="15" hidden="false" customHeight="false" outlineLevel="0" collapsed="false">
      <c r="A16" s="0" t="s">
        <v>92</v>
      </c>
      <c r="B16" s="22" t="n">
        <f aca="false">B15-B10</f>
        <v>666.666666666667</v>
      </c>
    </row>
    <row r="17" customFormat="false" ht="15" hidden="false" customHeight="false" outlineLevel="0" collapsed="false">
      <c r="A17" s="0" t="s">
        <v>93</v>
      </c>
      <c r="B17" s="5" t="n">
        <f aca="false">B14-B11</f>
        <v>66666666.6666667</v>
      </c>
    </row>
    <row r="18" customFormat="false" ht="15" hidden="false" customHeight="false" outlineLevel="0" collapsed="false">
      <c r="A18" s="0" t="s">
        <v>94</v>
      </c>
      <c r="B18" s="23" t="n">
        <f aca="false">(B14-B11)/B14</f>
        <v>0.102564102564103</v>
      </c>
    </row>
    <row r="21" customFormat="false" ht="15" hidden="false" customHeight="false" outlineLevel="0" collapsed="false">
      <c r="A21" s="3" t="s">
        <v>95</v>
      </c>
      <c r="B21" s="3"/>
      <c r="C21" s="3"/>
      <c r="D21" s="3"/>
      <c r="E21" s="3"/>
    </row>
    <row r="22" customFormat="false" ht="15" hidden="false" customHeight="false" outlineLevel="0" collapsed="false">
      <c r="A22" s="4" t="s">
        <v>96</v>
      </c>
      <c r="B22" s="4" t="s">
        <v>97</v>
      </c>
      <c r="C22" s="4" t="s">
        <v>98</v>
      </c>
      <c r="D22" s="4" t="s">
        <v>99</v>
      </c>
      <c r="E22" s="4" t="s">
        <v>100</v>
      </c>
    </row>
    <row r="23" customFormat="false" ht="15" hidden="false" customHeight="false" outlineLevel="0" collapsed="false">
      <c r="A23" s="5" t="n">
        <v>300000000</v>
      </c>
      <c r="B23" s="22" t="n">
        <v>5000</v>
      </c>
      <c r="C23" s="5" t="n">
        <v>500000000</v>
      </c>
      <c r="D23" s="5" t="n">
        <v>150000000</v>
      </c>
      <c r="E23" s="23" t="n">
        <v>0.231</v>
      </c>
    </row>
    <row r="24" customFormat="false" ht="15" hidden="false" customHeight="false" outlineLevel="0" collapsed="false">
      <c r="A24" s="5" t="n">
        <v>325000000</v>
      </c>
      <c r="B24" s="22" t="n">
        <v>5417</v>
      </c>
      <c r="C24" s="5" t="n">
        <v>541700000</v>
      </c>
      <c r="D24" s="5" t="n">
        <v>108300000</v>
      </c>
      <c r="E24" s="23" t="n">
        <v>0.167</v>
      </c>
    </row>
    <row r="25" customFormat="false" ht="15" hidden="false" customHeight="false" outlineLevel="0" collapsed="false">
      <c r="A25" s="5" t="n">
        <v>350000000</v>
      </c>
      <c r="B25" s="22" t="n">
        <v>5833</v>
      </c>
      <c r="C25" s="5" t="n">
        <v>583300000</v>
      </c>
      <c r="D25" s="5" t="n">
        <v>66700000</v>
      </c>
      <c r="E25" s="23" t="n">
        <v>0.103</v>
      </c>
    </row>
    <row r="26" customFormat="false" ht="15" hidden="false" customHeight="false" outlineLevel="0" collapsed="false">
      <c r="A26" s="5" t="n">
        <v>375000000</v>
      </c>
      <c r="B26" s="22" t="n">
        <v>6250</v>
      </c>
      <c r="C26" s="5" t="n">
        <v>625000000</v>
      </c>
      <c r="D26" s="5" t="n">
        <v>25000000</v>
      </c>
      <c r="E26" s="23" t="n">
        <v>0.038</v>
      </c>
    </row>
    <row r="27" customFormat="false" ht="15" hidden="false" customHeight="false" outlineLevel="0" collapsed="false">
      <c r="A27" s="5" t="n">
        <v>400000000</v>
      </c>
      <c r="B27" s="22" t="n">
        <v>6667</v>
      </c>
      <c r="C27" s="5" t="n">
        <v>666700000</v>
      </c>
      <c r="D27" s="5" t="n">
        <v>-16700000</v>
      </c>
      <c r="E27" s="23" t="n">
        <v>-0.026</v>
      </c>
    </row>
  </sheetData>
  <mergeCells count="7">
    <mergeCell ref="A1:E1"/>
    <mergeCell ref="A3:B3"/>
    <mergeCell ref="A8:B8"/>
    <mergeCell ref="A9:B9"/>
    <mergeCell ref="A12:B12"/>
    <mergeCell ref="A13:B13"/>
    <mergeCell ref="A21:E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45"/>
    <col collapsed="false" customWidth="true" hidden="false" outlineLevel="0" max="3" min="3" style="0" width="25"/>
    <col collapsed="false" customWidth="true" hidden="false" outlineLevel="0" max="4" min="4" style="0" width="20"/>
    <col collapsed="false" customWidth="true" hidden="false" outlineLevel="0" max="5" min="5" style="0" width="15"/>
    <col collapsed="false" customWidth="true" hidden="false" outlineLevel="0" max="6" min="6" style="0" width="20"/>
  </cols>
  <sheetData>
    <row r="1" customFormat="false" ht="17.35" hidden="false" customHeight="false" outlineLevel="0" collapsed="false">
      <c r="A1" s="7" t="s">
        <v>101</v>
      </c>
      <c r="B1" s="7"/>
      <c r="C1" s="7"/>
      <c r="D1" s="7"/>
      <c r="E1" s="7"/>
      <c r="F1" s="7"/>
    </row>
    <row r="3" customFormat="false" ht="15" hidden="false" customHeight="false" outlineLevel="0" collapsed="false">
      <c r="B3" s="0" t="s">
        <v>102</v>
      </c>
    </row>
    <row r="4" customFormat="false" ht="15" hidden="false" customHeight="false" outlineLevel="0" collapsed="false">
      <c r="A4" s="4" t="s">
        <v>103</v>
      </c>
      <c r="B4" s="4" t="s">
        <v>104</v>
      </c>
      <c r="C4" s="4" t="s">
        <v>105</v>
      </c>
      <c r="D4" s="4" t="s">
        <v>106</v>
      </c>
      <c r="E4" s="4" t="s">
        <v>107</v>
      </c>
      <c r="F4" s="4" t="s">
        <v>6</v>
      </c>
    </row>
    <row r="5" customFormat="false" ht="15" hidden="false" customHeight="false" outlineLevel="0" collapsed="false">
      <c r="A5" s="24" t="s">
        <v>108</v>
      </c>
      <c r="B5" s="6" t="s">
        <v>109</v>
      </c>
      <c r="C5" s="6" t="s">
        <v>110</v>
      </c>
      <c r="D5" s="6" t="s">
        <v>111</v>
      </c>
      <c r="E5" s="6" t="s">
        <v>112</v>
      </c>
      <c r="F5" s="6" t="s">
        <v>113</v>
      </c>
    </row>
    <row r="6" customFormat="false" ht="15" hidden="false" customHeight="false" outlineLevel="0" collapsed="false">
      <c r="A6" s="24" t="s">
        <v>108</v>
      </c>
      <c r="B6" s="6" t="s">
        <v>114</v>
      </c>
      <c r="C6" s="6" t="s">
        <v>115</v>
      </c>
      <c r="D6" s="6" t="s">
        <v>116</v>
      </c>
      <c r="E6" s="6" t="s">
        <v>117</v>
      </c>
      <c r="F6" s="6" t="s">
        <v>113</v>
      </c>
    </row>
    <row r="7" customFormat="false" ht="15" hidden="false" customHeight="false" outlineLevel="0" collapsed="false">
      <c r="A7" s="25" t="s">
        <v>118</v>
      </c>
      <c r="B7" s="6" t="s">
        <v>119</v>
      </c>
      <c r="C7" s="6" t="s">
        <v>120</v>
      </c>
      <c r="D7" s="6" t="s">
        <v>111</v>
      </c>
      <c r="E7" s="6" t="s">
        <v>121</v>
      </c>
      <c r="F7" s="6" t="s">
        <v>122</v>
      </c>
    </row>
    <row r="8" customFormat="false" ht="15" hidden="false" customHeight="false" outlineLevel="0" collapsed="false">
      <c r="A8" s="25" t="s">
        <v>118</v>
      </c>
      <c r="B8" s="6" t="s">
        <v>123</v>
      </c>
      <c r="C8" s="6" t="s">
        <v>124</v>
      </c>
      <c r="D8" s="6" t="s">
        <v>111</v>
      </c>
      <c r="E8" s="6" t="s">
        <v>112</v>
      </c>
      <c r="F8" s="6" t="s">
        <v>113</v>
      </c>
    </row>
    <row r="10" customFormat="false" ht="15" hidden="false" customHeight="false" outlineLevel="0" collapsed="false">
      <c r="B10" s="0" t="s">
        <v>125</v>
      </c>
    </row>
    <row r="11" customFormat="false" ht="15" hidden="false" customHeight="false" outlineLevel="0" collapsed="false">
      <c r="A11" s="4" t="s">
        <v>103</v>
      </c>
      <c r="B11" s="4" t="s">
        <v>104</v>
      </c>
      <c r="C11" s="4" t="s">
        <v>105</v>
      </c>
      <c r="D11" s="4" t="s">
        <v>106</v>
      </c>
      <c r="E11" s="4" t="s">
        <v>107</v>
      </c>
      <c r="F11" s="4" t="s">
        <v>6</v>
      </c>
    </row>
    <row r="12" customFormat="false" ht="15" hidden="false" customHeight="false" outlineLevel="0" collapsed="false">
      <c r="A12" s="24" t="s">
        <v>108</v>
      </c>
      <c r="B12" s="6" t="s">
        <v>126</v>
      </c>
      <c r="C12" s="6" t="s">
        <v>127</v>
      </c>
      <c r="D12" s="6" t="s">
        <v>128</v>
      </c>
      <c r="E12" s="6" t="s">
        <v>129</v>
      </c>
      <c r="F12" s="6" t="s">
        <v>130</v>
      </c>
    </row>
    <row r="13" customFormat="false" ht="15" hidden="false" customHeight="false" outlineLevel="0" collapsed="false">
      <c r="A13" s="24" t="s">
        <v>108</v>
      </c>
      <c r="B13" s="6" t="s">
        <v>131</v>
      </c>
      <c r="C13" s="6" t="s">
        <v>132</v>
      </c>
      <c r="D13" s="6" t="s">
        <v>111</v>
      </c>
      <c r="E13" s="6" t="s">
        <v>133</v>
      </c>
      <c r="F13" s="6" t="s">
        <v>113</v>
      </c>
    </row>
    <row r="14" customFormat="false" ht="15" hidden="false" customHeight="false" outlineLevel="0" collapsed="false">
      <c r="A14" s="25" t="s">
        <v>118</v>
      </c>
      <c r="B14" s="6" t="s">
        <v>134</v>
      </c>
      <c r="C14" s="6" t="s">
        <v>135</v>
      </c>
      <c r="D14" s="6" t="s">
        <v>136</v>
      </c>
      <c r="E14" s="6" t="s">
        <v>137</v>
      </c>
      <c r="F14" s="6" t="s">
        <v>138</v>
      </c>
    </row>
    <row r="15" customFormat="false" ht="15" hidden="false" customHeight="false" outlineLevel="0" collapsed="false">
      <c r="A15" s="25" t="s">
        <v>118</v>
      </c>
      <c r="B15" s="6" t="s">
        <v>139</v>
      </c>
      <c r="C15" s="6" t="s">
        <v>140</v>
      </c>
      <c r="D15" s="6" t="s">
        <v>141</v>
      </c>
      <c r="E15" s="6" t="s">
        <v>142</v>
      </c>
      <c r="F15" s="6" t="s">
        <v>130</v>
      </c>
    </row>
    <row r="16" customFormat="false" ht="15" hidden="false" customHeight="false" outlineLevel="0" collapsed="false">
      <c r="A16" s="26" t="s">
        <v>143</v>
      </c>
      <c r="B16" s="6" t="s">
        <v>144</v>
      </c>
      <c r="C16" s="6" t="s">
        <v>145</v>
      </c>
      <c r="D16" s="6" t="s">
        <v>111</v>
      </c>
      <c r="E16" s="6" t="s">
        <v>121</v>
      </c>
      <c r="F16" s="6" t="s">
        <v>146</v>
      </c>
    </row>
    <row r="18" customFormat="false" ht="15" hidden="false" customHeight="false" outlineLevel="0" collapsed="false">
      <c r="B18" s="0" t="s">
        <v>147</v>
      </c>
    </row>
    <row r="19" customFormat="false" ht="15" hidden="false" customHeight="false" outlineLevel="0" collapsed="false">
      <c r="A19" s="4" t="s">
        <v>103</v>
      </c>
      <c r="B19" s="4" t="s">
        <v>104</v>
      </c>
      <c r="C19" s="4" t="s">
        <v>105</v>
      </c>
      <c r="D19" s="4" t="s">
        <v>106</v>
      </c>
      <c r="E19" s="4" t="s">
        <v>107</v>
      </c>
      <c r="F19" s="4" t="s">
        <v>6</v>
      </c>
    </row>
    <row r="20" customFormat="false" ht="15" hidden="false" customHeight="false" outlineLevel="0" collapsed="false">
      <c r="A20" s="24" t="s">
        <v>108</v>
      </c>
      <c r="B20" s="6" t="s">
        <v>148</v>
      </c>
      <c r="C20" s="6" t="s">
        <v>149</v>
      </c>
      <c r="D20" s="6" t="s">
        <v>150</v>
      </c>
      <c r="E20" s="6" t="s">
        <v>151</v>
      </c>
      <c r="F20" s="6" t="s">
        <v>152</v>
      </c>
    </row>
    <row r="21" customFormat="false" ht="15" hidden="false" customHeight="false" outlineLevel="0" collapsed="false">
      <c r="A21" s="25" t="s">
        <v>118</v>
      </c>
      <c r="B21" s="6" t="s">
        <v>153</v>
      </c>
      <c r="C21" s="6" t="s">
        <v>154</v>
      </c>
      <c r="D21" s="6" t="s">
        <v>155</v>
      </c>
      <c r="E21" s="6" t="s">
        <v>156</v>
      </c>
      <c r="F21" s="6" t="s">
        <v>138</v>
      </c>
    </row>
    <row r="22" customFormat="false" ht="15" hidden="false" customHeight="false" outlineLevel="0" collapsed="false">
      <c r="A22" s="25" t="s">
        <v>118</v>
      </c>
      <c r="B22" s="6" t="s">
        <v>157</v>
      </c>
      <c r="C22" s="6" t="s">
        <v>127</v>
      </c>
      <c r="D22" s="6" t="s">
        <v>158</v>
      </c>
      <c r="E22" s="6" t="s">
        <v>159</v>
      </c>
      <c r="F22" s="6" t="s">
        <v>160</v>
      </c>
    </row>
    <row r="23" customFormat="false" ht="15" hidden="false" customHeight="false" outlineLevel="0" collapsed="false">
      <c r="A23" s="26" t="s">
        <v>143</v>
      </c>
      <c r="B23" s="6" t="s">
        <v>161</v>
      </c>
      <c r="C23" s="6" t="s">
        <v>162</v>
      </c>
      <c r="D23" s="6" t="s">
        <v>163</v>
      </c>
      <c r="E23" s="6" t="s">
        <v>164</v>
      </c>
      <c r="F23" s="6" t="s">
        <v>165</v>
      </c>
    </row>
    <row r="25" customFormat="false" ht="15" hidden="false" customHeight="false" outlineLevel="0" collapsed="false">
      <c r="B25" s="0" t="s">
        <v>166</v>
      </c>
    </row>
    <row r="26" customFormat="false" ht="15" hidden="false" customHeight="false" outlineLevel="0" collapsed="false">
      <c r="A26" s="4" t="s">
        <v>20</v>
      </c>
      <c r="B26" s="4" t="s">
        <v>167</v>
      </c>
      <c r="C26" s="4" t="s">
        <v>168</v>
      </c>
      <c r="D26" s="4" t="s">
        <v>169</v>
      </c>
    </row>
    <row r="27" customFormat="false" ht="15" hidden="false" customHeight="false" outlineLevel="0" collapsed="false">
      <c r="A27" s="0" t="s">
        <v>170</v>
      </c>
      <c r="B27" s="0" t="s">
        <v>171</v>
      </c>
      <c r="C27" s="0" t="s">
        <v>172</v>
      </c>
      <c r="D27" s="0" t="s">
        <v>173</v>
      </c>
    </row>
    <row r="28" customFormat="false" ht="15" hidden="false" customHeight="false" outlineLevel="0" collapsed="false">
      <c r="A28" s="0" t="s">
        <v>174</v>
      </c>
      <c r="B28" s="0" t="s">
        <v>175</v>
      </c>
      <c r="C28" s="0" t="s">
        <v>176</v>
      </c>
      <c r="D28" s="0" t="s">
        <v>177</v>
      </c>
    </row>
    <row r="29" customFormat="false" ht="15" hidden="false" customHeight="false" outlineLevel="0" collapsed="false">
      <c r="A29" s="0" t="s">
        <v>178</v>
      </c>
      <c r="B29" s="0" t="s">
        <v>179</v>
      </c>
      <c r="C29" s="0" t="s">
        <v>180</v>
      </c>
      <c r="D29" s="0" t="s">
        <v>181</v>
      </c>
    </row>
    <row r="30" customFormat="false" ht="15" hidden="false" customHeight="false" outlineLevel="0" collapsed="false">
      <c r="A30" s="0" t="s">
        <v>182</v>
      </c>
      <c r="B30" s="0" t="s">
        <v>183</v>
      </c>
      <c r="C30" s="0" t="s">
        <v>184</v>
      </c>
      <c r="D30" s="0" t="s">
        <v>185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2025-11-24T05:55:41Z</dcterms:created>
  <dc:creator>openpyxl</dc:creator>
  <dc:description/>
  <dc:language>en-US</dc:language>
  <cp:lastModifiedBy/>
  <dcterms:modified xsi:type="dcterms:W3CDTF">2025-11-24T05:55:41Z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